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DA709DE-05A9-4A94-B13C-4DF11CD062CF}" xr6:coauthVersionLast="47" xr6:coauthVersionMax="47" xr10:uidLastSave="{00000000-0000-0000-0000-000000000000}"/>
  <bookViews>
    <workbookView xWindow="-120" yWindow="-120" windowWidth="29040" windowHeight="15720" xr2:uid="{8E8D9D98-4739-4F4E-AD51-8B0594F7AC9B}"/>
  </bookViews>
  <sheets>
    <sheet name="Dado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0" i="1" l="1"/>
  <c r="O20" i="1" s="1"/>
  <c r="N19" i="1"/>
  <c r="O19" i="1" s="1"/>
  <c r="N18" i="1"/>
  <c r="O18" i="1" s="1"/>
  <c r="N17" i="1"/>
  <c r="O17" i="1" s="1"/>
  <c r="N16" i="1"/>
  <c r="N15" i="1"/>
  <c r="O15" i="1" s="1"/>
  <c r="N14" i="1"/>
  <c r="O14" i="1" s="1"/>
  <c r="N13" i="1"/>
  <c r="O13" i="1" s="1"/>
  <c r="N12" i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4" i="1"/>
  <c r="O4" i="1" s="1"/>
  <c r="N3" i="1"/>
  <c r="O3" i="1" s="1"/>
  <c r="N2" i="1"/>
</calcChain>
</file>

<file path=xl/sharedStrings.xml><?xml version="1.0" encoding="utf-8"?>
<sst xmlns="http://schemas.openxmlformats.org/spreadsheetml/2006/main" count="91" uniqueCount="45">
  <si>
    <t>post_id</t>
  </si>
  <si>
    <t>data</t>
  </si>
  <si>
    <t>hora</t>
  </si>
  <si>
    <t>conta</t>
  </si>
  <si>
    <t>tipo_post</t>
  </si>
  <si>
    <t>tema</t>
  </si>
  <si>
    <t>visualizacoes</t>
  </si>
  <si>
    <t>alcance</t>
  </si>
  <si>
    <t>curtida</t>
  </si>
  <si>
    <t>comentarios</t>
  </si>
  <si>
    <t>compartilhamentos</t>
  </si>
  <si>
    <t>salvamentos</t>
  </si>
  <si>
    <t>seguidores</t>
  </si>
  <si>
    <t>engajamento</t>
  </si>
  <si>
    <t>taxa_engajamento</t>
  </si>
  <si>
    <t>09:49</t>
  </si>
  <si>
    <t>conta_B</t>
  </si>
  <si>
    <t>imagem</t>
  </si>
  <si>
    <t>evento</t>
  </si>
  <si>
    <t>12:34</t>
  </si>
  <si>
    <t>conta_A</t>
  </si>
  <si>
    <t>reels</t>
  </si>
  <si>
    <t>institucional</t>
  </si>
  <si>
    <t>13:00</t>
  </si>
  <si>
    <t>carrossel</t>
  </si>
  <si>
    <t>15:00</t>
  </si>
  <si>
    <t>12:00</t>
  </si>
  <si>
    <t>educacional</t>
  </si>
  <si>
    <t>08:30</t>
  </si>
  <si>
    <t>05:30</t>
  </si>
  <si>
    <t>12:01</t>
  </si>
  <si>
    <t>11:08</t>
  </si>
  <si>
    <t>comercial</t>
  </si>
  <si>
    <t>10:00</t>
  </si>
  <si>
    <t>reforma tributaria</t>
  </si>
  <si>
    <t>09:56</t>
  </si>
  <si>
    <t>conta_C</t>
  </si>
  <si>
    <t>09:00</t>
  </si>
  <si>
    <t>05:00</t>
  </si>
  <si>
    <t>14:05</t>
  </si>
  <si>
    <t>07:37</t>
  </si>
  <si>
    <t>11:30</t>
  </si>
  <si>
    <t>jurídico</t>
  </si>
  <si>
    <t>07:16</t>
  </si>
  <si>
    <t>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</si>
</sst>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003366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10" fontId="2" fillId="2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4" fillId="0" borderId="0" xfId="0" applyFont="1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49" fontId="3" fillId="0" borderId="4" xfId="0" applyNumberFormat="1" applyFont="1" applyBorder="1" applyAlignment="1">
      <alignment horizontal="center" vertical="center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fill>
        <patternFill patternType="solid">
          <fgColor rgb="FF003366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D9D9D9"/>
        </top>
        <bottom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fill>
        <patternFill patternType="solid">
          <fgColor rgb="FF003366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</dxf>
    <dxf>
      <numFmt numFmtId="30" formatCode="@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345E40-32DE-4A30-82BF-59F7C340CBB6}" name="TabelaDados" displayName="TabelaDados" ref="B1:O21" totalsRowCount="1">
  <autoFilter ref="B1:O20" xr:uid="{64556AC0-1E93-40A2-AEC4-B58DDE323C8B}"/>
  <tableColumns count="14">
    <tableColumn id="1" xr3:uid="{76E61608-037B-4741-9C7C-EE95C9F1FE53}" name="data" dataDxfId="31" totalsRowDxfId="30"/>
    <tableColumn id="2" xr3:uid="{5FC176A1-C7E6-416E-921F-4D1CBD865A4E}" name="hora" dataDxfId="29" totalsRowDxfId="28"/>
    <tableColumn id="3" xr3:uid="{FD54F648-DE47-41A4-947F-235A1D0CC291}" name="conta"/>
    <tableColumn id="4" xr3:uid="{C862B48A-CB0F-4B50-A1B6-D613CF7177F7}" name="tipo_post" dataDxfId="27" totalsRowDxfId="26"/>
    <tableColumn id="16" xr3:uid="{9F72BB98-1687-40D8-9CF6-81673416A690}" name="tema" dataDxfId="25" totalsRowDxfId="24"/>
    <tableColumn id="7" xr3:uid="{65CFABA3-5A2F-4ADE-BB69-2495575D7E9B}" name="visualizacoes" dataDxfId="23" totalsRowDxfId="22"/>
    <tableColumn id="8" xr3:uid="{2AF09524-DF37-4D93-AFD5-17BC9878562B}" name="alcance" dataDxfId="21" totalsRowDxfId="20"/>
    <tableColumn id="9" xr3:uid="{F150FCC0-7F6D-4D20-9034-60CF9F52CCC2}" name="curtida" dataDxfId="19" totalsRowDxfId="18"/>
    <tableColumn id="10" xr3:uid="{07AE9C1B-EEEE-4DD9-8C6B-91409CA74263}" name="comentarios" dataDxfId="17" totalsRowDxfId="16"/>
    <tableColumn id="11" xr3:uid="{09A61655-E63D-42F5-8F2A-B0B492177DD3}" name="compartilhamentos" dataDxfId="15" totalsRowDxfId="14"/>
    <tableColumn id="12" xr3:uid="{1C3D9B25-BC8C-46B9-9B1E-0A46C71C2968}" name="salvamentos" dataDxfId="13" totalsRowDxfId="12"/>
    <tableColumn id="13" xr3:uid="{4B61BFB0-1E73-46DA-B4BB-081277F0F9F7}" name="seguidores" dataDxfId="11" totalsRowDxfId="10"/>
    <tableColumn id="14" xr3:uid="{A900A868-C703-4832-AE91-8536CFF28FAA}" name="engajamento" dataDxfId="9" totalsRowDxfId="8">
      <calculatedColumnFormula>SUM(I2,J2,K2,L2)</calculatedColumnFormula>
    </tableColumn>
    <tableColumn id="15" xr3:uid="{909BE377-055C-4B1F-9FDE-A711702A6293}" name="taxa_engajamento" dataDxfId="7" totalsRowDxfId="6">
      <calculatedColumnFormula>IFERROR(N2/H2,"")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ABE6FD-A5F3-415D-B401-1DE33A92031B}" name="Tabela3" displayName="Tabela3" ref="A1:A20" totalsRowShown="0" headerRowDxfId="5" dataDxfId="3" headerRowBorderDxfId="4" tableBorderDxfId="2" totalsRowBorderDxfId="1">
  <autoFilter ref="A1:A20" xr:uid="{EB3A71BE-B0D7-4002-894C-9B9BFD89951A}"/>
  <tableColumns count="1">
    <tableColumn id="1" xr3:uid="{DD16C1D7-F5E1-45AB-AB19-1DACCED55E0B}" name="post_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C2F3-68FD-43DC-AC15-6EC94624E6DB}">
  <dimension ref="A1:O21"/>
  <sheetViews>
    <sheetView tabSelected="1" zoomScale="90" zoomScaleNormal="90" workbookViewId="0">
      <selection activeCell="D5" sqref="D5"/>
    </sheetView>
  </sheetViews>
  <sheetFormatPr defaultColWidth="8.7109375" defaultRowHeight="15" x14ac:dyDescent="0.25"/>
  <cols>
    <col min="1" max="1" width="9.42578125" style="15" customWidth="1"/>
    <col min="2" max="2" width="14" style="16" customWidth="1"/>
    <col min="3" max="3" width="10" style="17" customWidth="1"/>
    <col min="4" max="4" width="16" customWidth="1"/>
    <col min="5" max="6" width="18" style="18" customWidth="1"/>
    <col min="7" max="7" width="13" style="20" customWidth="1"/>
    <col min="8" max="8" width="11" style="20" customWidth="1"/>
    <col min="9" max="9" width="10" style="20" customWidth="1"/>
    <col min="10" max="10" width="12" style="20" customWidth="1"/>
    <col min="11" max="11" width="20.5703125" style="20" bestFit="1" customWidth="1"/>
    <col min="12" max="12" width="16" style="20" bestFit="1" customWidth="1"/>
    <col min="13" max="13" width="15.42578125" style="20" bestFit="1" customWidth="1"/>
    <col min="14" max="14" width="19.5703125" style="20" customWidth="1"/>
    <col min="15" max="15" width="19.85546875" style="21" bestFit="1" customWidth="1"/>
    <col min="16" max="16" width="19.28515625" customWidth="1"/>
  </cols>
  <sheetData>
    <row r="1" spans="1:15" ht="25.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x14ac:dyDescent="0.25">
      <c r="A2" s="8">
        <v>1</v>
      </c>
      <c r="B2" s="9">
        <v>46034</v>
      </c>
      <c r="C2" s="10" t="s">
        <v>15</v>
      </c>
      <c r="D2" s="11" t="s">
        <v>16</v>
      </c>
      <c r="E2" s="12" t="s">
        <v>17</v>
      </c>
      <c r="F2" s="12" t="s">
        <v>18</v>
      </c>
      <c r="G2" s="13">
        <v>1081</v>
      </c>
      <c r="H2" s="13"/>
      <c r="I2" s="13">
        <v>40</v>
      </c>
      <c r="J2" s="13">
        <v>9</v>
      </c>
      <c r="K2" s="13">
        <v>0</v>
      </c>
      <c r="L2" s="13">
        <v>0</v>
      </c>
      <c r="M2" s="13"/>
      <c r="N2" s="13">
        <f t="shared" ref="N2:N20" si="0">SUM(I2,J2,K2,L2)</f>
        <v>49</v>
      </c>
      <c r="O2" s="14"/>
    </row>
    <row r="3" spans="1:15" x14ac:dyDescent="0.25">
      <c r="A3" s="8">
        <v>2</v>
      </c>
      <c r="B3" s="9">
        <v>46066</v>
      </c>
      <c r="C3" s="10" t="s">
        <v>19</v>
      </c>
      <c r="D3" s="11" t="s">
        <v>20</v>
      </c>
      <c r="E3" s="12" t="s">
        <v>21</v>
      </c>
      <c r="F3" s="12" t="s">
        <v>22</v>
      </c>
      <c r="G3" s="13">
        <v>848</v>
      </c>
      <c r="H3" s="13">
        <v>481</v>
      </c>
      <c r="I3" s="13">
        <v>24</v>
      </c>
      <c r="J3" s="13">
        <v>3</v>
      </c>
      <c r="K3" s="13">
        <v>4</v>
      </c>
      <c r="L3" s="13">
        <v>0</v>
      </c>
      <c r="M3" s="13">
        <v>1</v>
      </c>
      <c r="N3" s="13">
        <f t="shared" si="0"/>
        <v>31</v>
      </c>
      <c r="O3" s="14">
        <f t="shared" ref="O3:O20" si="1">IFERROR(N3/H3,"")</f>
        <v>6.4449064449064453E-2</v>
      </c>
    </row>
    <row r="4" spans="1:15" x14ac:dyDescent="0.25">
      <c r="A4" s="8">
        <v>3</v>
      </c>
      <c r="B4" s="9">
        <v>46087</v>
      </c>
      <c r="C4" s="10" t="s">
        <v>23</v>
      </c>
      <c r="D4" s="11" t="s">
        <v>20</v>
      </c>
      <c r="E4" s="12" t="s">
        <v>24</v>
      </c>
      <c r="F4" s="12" t="s">
        <v>22</v>
      </c>
      <c r="G4" s="13">
        <v>534</v>
      </c>
      <c r="H4" s="13">
        <v>211</v>
      </c>
      <c r="I4" s="13">
        <v>25</v>
      </c>
      <c r="J4" s="13">
        <v>1</v>
      </c>
      <c r="K4" s="13">
        <v>4</v>
      </c>
      <c r="L4" s="13">
        <v>2</v>
      </c>
      <c r="M4" s="13">
        <v>0</v>
      </c>
      <c r="N4" s="13">
        <f t="shared" si="0"/>
        <v>32</v>
      </c>
      <c r="O4" s="14">
        <f t="shared" si="1"/>
        <v>0.15165876777251186</v>
      </c>
    </row>
    <row r="5" spans="1:15" x14ac:dyDescent="0.25">
      <c r="A5" s="8">
        <v>4</v>
      </c>
      <c r="B5" s="9">
        <v>46105</v>
      </c>
      <c r="C5" s="10" t="s">
        <v>25</v>
      </c>
      <c r="D5" s="11" t="s">
        <v>20</v>
      </c>
      <c r="E5" s="12" t="s">
        <v>24</v>
      </c>
      <c r="F5" s="12" t="s">
        <v>22</v>
      </c>
      <c r="G5" s="13">
        <v>411</v>
      </c>
      <c r="H5" s="13">
        <v>161</v>
      </c>
      <c r="I5" s="13">
        <v>14</v>
      </c>
      <c r="J5" s="13">
        <v>0</v>
      </c>
      <c r="K5" s="13">
        <v>4</v>
      </c>
      <c r="L5" s="13">
        <v>0</v>
      </c>
      <c r="M5" s="13">
        <v>0</v>
      </c>
      <c r="N5" s="13">
        <f t="shared" si="0"/>
        <v>18</v>
      </c>
      <c r="O5" s="14">
        <f t="shared" si="1"/>
        <v>0.11180124223602485</v>
      </c>
    </row>
    <row r="6" spans="1:15" x14ac:dyDescent="0.25">
      <c r="A6" s="8">
        <v>5</v>
      </c>
      <c r="B6" s="9">
        <v>46106</v>
      </c>
      <c r="C6" s="10" t="s">
        <v>26</v>
      </c>
      <c r="D6" s="11" t="s">
        <v>20</v>
      </c>
      <c r="E6" s="12" t="s">
        <v>24</v>
      </c>
      <c r="F6" s="12" t="s">
        <v>27</v>
      </c>
      <c r="G6" s="13">
        <v>373</v>
      </c>
      <c r="H6" s="13">
        <v>179</v>
      </c>
      <c r="I6" s="13">
        <v>15</v>
      </c>
      <c r="J6" s="13">
        <v>0</v>
      </c>
      <c r="K6" s="13">
        <v>3</v>
      </c>
      <c r="L6" s="13">
        <v>2</v>
      </c>
      <c r="M6" s="13">
        <v>1</v>
      </c>
      <c r="N6" s="13">
        <f t="shared" si="0"/>
        <v>20</v>
      </c>
      <c r="O6" s="14">
        <f t="shared" si="1"/>
        <v>0.11173184357541899</v>
      </c>
    </row>
    <row r="7" spans="1:15" x14ac:dyDescent="0.25">
      <c r="A7" s="8">
        <v>6</v>
      </c>
      <c r="B7" s="9">
        <v>46108</v>
      </c>
      <c r="C7" s="10" t="s">
        <v>28</v>
      </c>
      <c r="D7" s="11" t="s">
        <v>20</v>
      </c>
      <c r="E7" s="12" t="s">
        <v>24</v>
      </c>
      <c r="F7" s="12" t="s">
        <v>27</v>
      </c>
      <c r="G7" s="13">
        <v>285</v>
      </c>
      <c r="H7" s="13">
        <v>164</v>
      </c>
      <c r="I7" s="13">
        <v>10</v>
      </c>
      <c r="J7" s="13">
        <v>0</v>
      </c>
      <c r="K7" s="13">
        <v>1</v>
      </c>
      <c r="L7" s="13">
        <v>0</v>
      </c>
      <c r="M7" s="13">
        <v>0</v>
      </c>
      <c r="N7" s="13">
        <f t="shared" si="0"/>
        <v>11</v>
      </c>
      <c r="O7" s="14">
        <f t="shared" si="1"/>
        <v>6.7073170731707321E-2</v>
      </c>
    </row>
    <row r="8" spans="1:15" x14ac:dyDescent="0.25">
      <c r="A8" s="8">
        <v>7</v>
      </c>
      <c r="B8" s="9">
        <v>46112</v>
      </c>
      <c r="C8" s="10" t="s">
        <v>29</v>
      </c>
      <c r="D8" s="11" t="s">
        <v>20</v>
      </c>
      <c r="E8" s="12" t="s">
        <v>24</v>
      </c>
      <c r="F8" s="12" t="s">
        <v>27</v>
      </c>
      <c r="G8" s="13">
        <v>339</v>
      </c>
      <c r="H8" s="13">
        <v>161</v>
      </c>
      <c r="I8" s="13">
        <v>12</v>
      </c>
      <c r="J8" s="13">
        <v>0</v>
      </c>
      <c r="K8" s="13">
        <v>1</v>
      </c>
      <c r="L8" s="13">
        <v>0</v>
      </c>
      <c r="M8" s="13">
        <v>0</v>
      </c>
      <c r="N8" s="13">
        <f t="shared" si="0"/>
        <v>13</v>
      </c>
      <c r="O8" s="14">
        <f t="shared" si="1"/>
        <v>8.0745341614906832E-2</v>
      </c>
    </row>
    <row r="9" spans="1:15" x14ac:dyDescent="0.25">
      <c r="A9" s="8">
        <v>8</v>
      </c>
      <c r="B9" s="9">
        <v>46122</v>
      </c>
      <c r="C9" s="10" t="s">
        <v>30</v>
      </c>
      <c r="D9" s="11" t="s">
        <v>20</v>
      </c>
      <c r="E9" s="12" t="s">
        <v>24</v>
      </c>
      <c r="F9" s="12" t="s">
        <v>27</v>
      </c>
      <c r="G9" s="13">
        <v>320</v>
      </c>
      <c r="H9" s="13">
        <v>130</v>
      </c>
      <c r="I9" s="13">
        <v>9</v>
      </c>
      <c r="J9" s="13">
        <v>0</v>
      </c>
      <c r="K9" s="13">
        <v>0</v>
      </c>
      <c r="L9" s="13">
        <v>0</v>
      </c>
      <c r="M9" s="13">
        <v>0</v>
      </c>
      <c r="N9" s="13">
        <f t="shared" si="0"/>
        <v>9</v>
      </c>
      <c r="O9" s="14">
        <f t="shared" si="1"/>
        <v>6.9230769230769235E-2</v>
      </c>
    </row>
    <row r="10" spans="1:15" x14ac:dyDescent="0.25">
      <c r="A10" s="8">
        <v>9</v>
      </c>
      <c r="B10" s="9">
        <v>46153</v>
      </c>
      <c r="C10" s="10" t="s">
        <v>31</v>
      </c>
      <c r="D10" s="11" t="s">
        <v>20</v>
      </c>
      <c r="E10" s="12" t="s">
        <v>24</v>
      </c>
      <c r="F10" s="12" t="s">
        <v>32</v>
      </c>
      <c r="G10" s="13">
        <v>689</v>
      </c>
      <c r="H10" s="13">
        <v>250</v>
      </c>
      <c r="I10" s="13">
        <v>10</v>
      </c>
      <c r="J10" s="13">
        <v>0</v>
      </c>
      <c r="K10" s="13">
        <v>8</v>
      </c>
      <c r="L10" s="13">
        <v>0</v>
      </c>
      <c r="M10" s="13">
        <v>0</v>
      </c>
      <c r="N10" s="13">
        <f t="shared" si="0"/>
        <v>18</v>
      </c>
      <c r="O10" s="14">
        <f t="shared" si="1"/>
        <v>7.1999999999999995E-2</v>
      </c>
    </row>
    <row r="11" spans="1:15" x14ac:dyDescent="0.25">
      <c r="A11" s="8">
        <v>10</v>
      </c>
      <c r="B11" s="9">
        <v>46185</v>
      </c>
      <c r="C11" s="10" t="s">
        <v>33</v>
      </c>
      <c r="D11" s="11" t="s">
        <v>20</v>
      </c>
      <c r="E11" s="12" t="s">
        <v>24</v>
      </c>
      <c r="F11" s="12" t="s">
        <v>34</v>
      </c>
      <c r="G11" s="13">
        <v>503</v>
      </c>
      <c r="H11" s="13">
        <v>301</v>
      </c>
      <c r="I11" s="13">
        <v>9</v>
      </c>
      <c r="J11" s="13">
        <v>0</v>
      </c>
      <c r="K11" s="13">
        <v>1</v>
      </c>
      <c r="L11" s="13">
        <v>0</v>
      </c>
      <c r="M11" s="13">
        <v>0</v>
      </c>
      <c r="N11" s="13">
        <f t="shared" si="0"/>
        <v>10</v>
      </c>
      <c r="O11" s="14">
        <f t="shared" si="1"/>
        <v>3.3222591362126248E-2</v>
      </c>
    </row>
    <row r="12" spans="1:15" x14ac:dyDescent="0.25">
      <c r="A12" s="8">
        <v>11</v>
      </c>
      <c r="B12" s="9">
        <v>46203</v>
      </c>
      <c r="C12" s="10" t="s">
        <v>35</v>
      </c>
      <c r="D12" s="11" t="s">
        <v>36</v>
      </c>
      <c r="E12" s="12" t="s">
        <v>21</v>
      </c>
      <c r="F12" s="12" t="s">
        <v>32</v>
      </c>
      <c r="G12" s="13">
        <v>583</v>
      </c>
      <c r="H12" s="13"/>
      <c r="I12" s="13">
        <v>22</v>
      </c>
      <c r="J12" s="13">
        <v>1</v>
      </c>
      <c r="K12" s="13">
        <v>4</v>
      </c>
      <c r="L12" s="13">
        <v>0</v>
      </c>
      <c r="M12" s="13"/>
      <c r="N12" s="13">
        <f t="shared" si="0"/>
        <v>27</v>
      </c>
      <c r="O12" s="14"/>
    </row>
    <row r="13" spans="1:15" x14ac:dyDescent="0.25">
      <c r="A13" s="8">
        <v>12</v>
      </c>
      <c r="B13" s="9">
        <v>46206</v>
      </c>
      <c r="C13" s="10" t="s">
        <v>37</v>
      </c>
      <c r="D13" s="11" t="s">
        <v>20</v>
      </c>
      <c r="E13" s="12" t="s">
        <v>17</v>
      </c>
      <c r="F13" s="12" t="s">
        <v>27</v>
      </c>
      <c r="G13" s="13">
        <v>191</v>
      </c>
      <c r="H13" s="13">
        <v>97</v>
      </c>
      <c r="I13" s="13">
        <v>3</v>
      </c>
      <c r="J13" s="13">
        <v>0</v>
      </c>
      <c r="K13" s="13">
        <v>1</v>
      </c>
      <c r="L13" s="13">
        <v>1</v>
      </c>
      <c r="M13" s="13">
        <v>0</v>
      </c>
      <c r="N13" s="13">
        <f t="shared" si="0"/>
        <v>5</v>
      </c>
      <c r="O13" s="14">
        <f t="shared" si="1"/>
        <v>5.1546391752577317E-2</v>
      </c>
    </row>
    <row r="14" spans="1:15" x14ac:dyDescent="0.25">
      <c r="A14" s="8">
        <v>13</v>
      </c>
      <c r="B14" s="9">
        <v>46212</v>
      </c>
      <c r="C14" s="10" t="s">
        <v>38</v>
      </c>
      <c r="D14" s="11" t="s">
        <v>20</v>
      </c>
      <c r="E14" s="12" t="s">
        <v>17</v>
      </c>
      <c r="F14" s="12" t="s">
        <v>27</v>
      </c>
      <c r="G14" s="13">
        <v>211</v>
      </c>
      <c r="H14" s="13">
        <v>114</v>
      </c>
      <c r="I14" s="13">
        <v>10</v>
      </c>
      <c r="J14" s="13">
        <v>0</v>
      </c>
      <c r="K14" s="13">
        <v>1</v>
      </c>
      <c r="L14" s="13">
        <v>0</v>
      </c>
      <c r="M14" s="13">
        <v>0</v>
      </c>
      <c r="N14" s="13">
        <f t="shared" si="0"/>
        <v>11</v>
      </c>
      <c r="O14" s="14">
        <f t="shared" si="1"/>
        <v>9.6491228070175433E-2</v>
      </c>
    </row>
    <row r="15" spans="1:15" x14ac:dyDescent="0.25">
      <c r="A15" s="8">
        <v>14</v>
      </c>
      <c r="B15" s="9">
        <v>46232</v>
      </c>
      <c r="C15" s="10" t="s">
        <v>38</v>
      </c>
      <c r="D15" s="11" t="s">
        <v>20</v>
      </c>
      <c r="E15" s="12" t="s">
        <v>24</v>
      </c>
      <c r="F15" s="12" t="s">
        <v>18</v>
      </c>
      <c r="G15" s="13">
        <v>933</v>
      </c>
      <c r="H15" s="13">
        <v>403</v>
      </c>
      <c r="I15" s="13">
        <v>13</v>
      </c>
      <c r="J15" s="13">
        <v>0</v>
      </c>
      <c r="K15" s="13">
        <v>2</v>
      </c>
      <c r="L15" s="13">
        <v>0</v>
      </c>
      <c r="M15" s="13">
        <v>0</v>
      </c>
      <c r="N15" s="13">
        <f t="shared" si="0"/>
        <v>15</v>
      </c>
      <c r="O15" s="14">
        <f t="shared" si="1"/>
        <v>3.7220843672456573E-2</v>
      </c>
    </row>
    <row r="16" spans="1:15" x14ac:dyDescent="0.25">
      <c r="A16" s="8">
        <v>15</v>
      </c>
      <c r="B16" s="9">
        <v>46239</v>
      </c>
      <c r="C16" s="10" t="s">
        <v>39</v>
      </c>
      <c r="D16" s="11" t="s">
        <v>16</v>
      </c>
      <c r="E16" s="12" t="s">
        <v>24</v>
      </c>
      <c r="F16" s="12" t="s">
        <v>18</v>
      </c>
      <c r="G16" s="13">
        <v>799</v>
      </c>
      <c r="H16" s="13"/>
      <c r="I16" s="13">
        <v>31</v>
      </c>
      <c r="J16" s="13">
        <v>5</v>
      </c>
      <c r="K16" s="13">
        <v>1</v>
      </c>
      <c r="L16" s="13">
        <v>0</v>
      </c>
      <c r="M16" s="13"/>
      <c r="N16" s="13">
        <f t="shared" si="0"/>
        <v>37</v>
      </c>
      <c r="O16" s="14"/>
    </row>
    <row r="17" spans="1:15" x14ac:dyDescent="0.25">
      <c r="A17" s="8">
        <v>16</v>
      </c>
      <c r="B17" s="9">
        <v>46245</v>
      </c>
      <c r="C17" s="10" t="s">
        <v>40</v>
      </c>
      <c r="D17" s="11" t="s">
        <v>20</v>
      </c>
      <c r="E17" s="12" t="s">
        <v>21</v>
      </c>
      <c r="F17" s="12" t="s">
        <v>18</v>
      </c>
      <c r="G17" s="13">
        <v>330</v>
      </c>
      <c r="H17" s="13">
        <v>208</v>
      </c>
      <c r="I17" s="13">
        <v>20</v>
      </c>
      <c r="J17" s="13">
        <v>1</v>
      </c>
      <c r="K17" s="13">
        <v>3</v>
      </c>
      <c r="L17" s="13">
        <v>0</v>
      </c>
      <c r="M17" s="13">
        <v>0</v>
      </c>
      <c r="N17" s="13">
        <f t="shared" si="0"/>
        <v>24</v>
      </c>
      <c r="O17" s="14">
        <f t="shared" si="1"/>
        <v>0.11538461538461539</v>
      </c>
    </row>
    <row r="18" spans="1:15" x14ac:dyDescent="0.25">
      <c r="A18" s="8">
        <v>17</v>
      </c>
      <c r="B18" s="9">
        <v>46245</v>
      </c>
      <c r="C18" s="10" t="s">
        <v>41</v>
      </c>
      <c r="D18" s="11" t="s">
        <v>20</v>
      </c>
      <c r="E18" s="12" t="s">
        <v>17</v>
      </c>
      <c r="F18" s="12" t="s">
        <v>42</v>
      </c>
      <c r="G18" s="13">
        <v>157</v>
      </c>
      <c r="H18" s="13">
        <v>76</v>
      </c>
      <c r="I18" s="13">
        <v>10</v>
      </c>
      <c r="J18" s="13">
        <v>2</v>
      </c>
      <c r="K18" s="13">
        <v>0</v>
      </c>
      <c r="L18" s="13">
        <v>0</v>
      </c>
      <c r="M18" s="13">
        <v>0</v>
      </c>
      <c r="N18" s="13">
        <f t="shared" si="0"/>
        <v>12</v>
      </c>
      <c r="O18" s="14">
        <f t="shared" si="1"/>
        <v>0.15789473684210525</v>
      </c>
    </row>
    <row r="19" spans="1:15" x14ac:dyDescent="0.25">
      <c r="A19" s="8">
        <v>18</v>
      </c>
      <c r="B19" s="9">
        <v>46248</v>
      </c>
      <c r="C19" s="10" t="s">
        <v>43</v>
      </c>
      <c r="D19" s="11" t="s">
        <v>20</v>
      </c>
      <c r="E19" s="12" t="s">
        <v>17</v>
      </c>
      <c r="F19" s="12" t="s">
        <v>34</v>
      </c>
      <c r="G19" s="13">
        <v>474</v>
      </c>
      <c r="H19" s="13">
        <v>106</v>
      </c>
      <c r="I19" s="13">
        <v>3</v>
      </c>
      <c r="J19" s="13">
        <v>0</v>
      </c>
      <c r="K19" s="13">
        <v>0</v>
      </c>
      <c r="L19" s="13">
        <v>0</v>
      </c>
      <c r="M19" s="13">
        <v>0</v>
      </c>
      <c r="N19" s="13">
        <f t="shared" si="0"/>
        <v>3</v>
      </c>
      <c r="O19" s="14">
        <f t="shared" si="1"/>
        <v>2.8301886792452831E-2</v>
      </c>
    </row>
    <row r="20" spans="1:15" x14ac:dyDescent="0.25">
      <c r="A20" s="8">
        <v>19</v>
      </c>
      <c r="B20" s="9">
        <v>46266</v>
      </c>
      <c r="C20" s="10" t="s">
        <v>44</v>
      </c>
      <c r="D20" s="11" t="s">
        <v>20</v>
      </c>
      <c r="E20" s="12" t="s">
        <v>24</v>
      </c>
      <c r="F20" s="12" t="s">
        <v>42</v>
      </c>
      <c r="G20" s="13">
        <v>185</v>
      </c>
      <c r="H20" s="13">
        <v>79</v>
      </c>
      <c r="I20" s="13">
        <v>7</v>
      </c>
      <c r="J20" s="13">
        <v>0</v>
      </c>
      <c r="K20" s="13">
        <v>0</v>
      </c>
      <c r="L20" s="13">
        <v>1</v>
      </c>
      <c r="M20" s="13">
        <v>0</v>
      </c>
      <c r="N20" s="13">
        <f t="shared" si="0"/>
        <v>8</v>
      </c>
      <c r="O20" s="14">
        <f t="shared" si="1"/>
        <v>0.10126582278481013</v>
      </c>
    </row>
    <row r="21" spans="1:15" x14ac:dyDescent="0.25">
      <c r="F21" s="19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</dc:creator>
  <cp:lastModifiedBy>Victor Hugo</cp:lastModifiedBy>
  <dcterms:created xsi:type="dcterms:W3CDTF">2026-09-04T18:00:57Z</dcterms:created>
  <dcterms:modified xsi:type="dcterms:W3CDTF">2026-09-04T18:02:36Z</dcterms:modified>
</cp:coreProperties>
</file>