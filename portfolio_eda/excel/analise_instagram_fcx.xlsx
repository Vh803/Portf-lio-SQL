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2F7281-7627-4AE9-8063-3A32916B6697}" xr6:coauthVersionLast="47" xr6:coauthVersionMax="47" xr10:uidLastSave="{00000000-0000-0000-0000-000000000000}"/>
  <bookViews>
    <workbookView xWindow="-120" yWindow="-120" windowWidth="29040" windowHeight="15720" xr2:uid="{C746B010-43FA-49DA-AAF9-73FCDE0B9592}"/>
  </bookViews>
  <sheets>
    <sheet name="Perguntas e respostas" sheetId="7" r:id="rId1"/>
    <sheet name="Pergunta1" sheetId="8" r:id="rId2"/>
    <sheet name="Pergunta2" sheetId="9" r:id="rId3"/>
    <sheet name="Pergunta3" sheetId="10" r:id="rId4"/>
    <sheet name="Pergunta4" sheetId="11" r:id="rId5"/>
    <sheet name="Pergunta5" sheetId="12" r:id="rId6"/>
    <sheet name="Pergunta6" sheetId="13" r:id="rId7"/>
    <sheet name="Pergunta7" sheetId="14" r:id="rId8"/>
    <sheet name="Dados" sheetId="1" r:id="rId9"/>
  </sheets>
  <calcPr calcId="191029" iterateDelta="1E-4"/>
  <pivotCaches>
    <pivotCache cacheId="4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O20" i="1"/>
  <c r="P20" i="1" s="1"/>
  <c r="O19" i="1"/>
  <c r="P19" i="1" s="1"/>
  <c r="O18" i="1"/>
  <c r="P18" i="1" s="1"/>
  <c r="O17" i="1"/>
  <c r="P17" i="1" s="1"/>
  <c r="O16" i="1"/>
  <c r="O15" i="1"/>
  <c r="P15" i="1" s="1"/>
  <c r="O14" i="1"/>
  <c r="P14" i="1" s="1"/>
  <c r="O13" i="1"/>
  <c r="P13" i="1" s="1"/>
  <c r="O12" i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O2" i="1"/>
</calcChain>
</file>

<file path=xl/sharedStrings.xml><?xml version="1.0" encoding="utf-8"?>
<sst xmlns="http://schemas.openxmlformats.org/spreadsheetml/2006/main" count="189" uniqueCount="96">
  <si>
    <t>09:49</t>
  </si>
  <si>
    <t>ronaldo.fcx</t>
  </si>
  <si>
    <t>https://www.instagram.com/p/DTa2uX7kZAQ/</t>
  </si>
  <si>
    <t>12:34</t>
  </si>
  <si>
    <t>fcxconsultoria</t>
  </si>
  <si>
    <t>https://www.instagram.com/reel/DUti_p7jAlc/</t>
  </si>
  <si>
    <t>13:00</t>
  </si>
  <si>
    <t>https://www.instagram.com/p/DVjqs-Dga2l/</t>
  </si>
  <si>
    <t>15:00</t>
  </si>
  <si>
    <t>https://www.instagram.com/p/DWSH2_9DcWj/</t>
  </si>
  <si>
    <t>12:00</t>
  </si>
  <si>
    <t>https://www.instagram.com/p/DWUYGoYDUC3/</t>
  </si>
  <si>
    <t>08:30</t>
  </si>
  <si>
    <t>https://www.instagram.com/p/DWZJnLSGTQQ/</t>
  </si>
  <si>
    <t>05:30</t>
  </si>
  <si>
    <t>https://www.instagram.com/p/DWjIMBCD8KC/</t>
  </si>
  <si>
    <t>12:01</t>
  </si>
  <si>
    <t>https://www.instagram.com/p/DW9k33Wjf27/</t>
  </si>
  <si>
    <t>11:08</t>
  </si>
  <si>
    <t>https://www.instagram.com/p/DYNTbvSDtED/</t>
  </si>
  <si>
    <t>10:00</t>
  </si>
  <si>
    <t>https://www.instagram.com/p/DZflKx7j-n0/</t>
  </si>
  <si>
    <t>09:56</t>
  </si>
  <si>
    <t>acija_jpa</t>
  </si>
  <si>
    <t>https://www.instagram.com/reel/DaN64vDBpvo/</t>
  </si>
  <si>
    <t>09:00</t>
  </si>
  <si>
    <t>https://www.instagram.com/p/DaVi8rhDF5o/</t>
  </si>
  <si>
    <t>05:00</t>
  </si>
  <si>
    <t>https://www.instagram.com/p/DakkOtkDSJT/</t>
  </si>
  <si>
    <t>https://www.instagram.com/p/DbYEIxkAbCX/</t>
  </si>
  <si>
    <t>14:05</t>
  </si>
  <si>
    <t>https://www.instagram.com/p/DbrEDB2AR6c/</t>
  </si>
  <si>
    <t>07:37</t>
  </si>
  <si>
    <t>https://www.instagram.com/reel/Db50VwFsyiM/</t>
  </si>
  <si>
    <t>11:30</t>
  </si>
  <si>
    <t>https://www.instagram.com/p/Db6PFgcDfTe/</t>
  </si>
  <si>
    <t>07:16</t>
  </si>
  <si>
    <t>https://www.instagram.com/p/DcBgaTfn9H3/</t>
  </si>
  <si>
    <t>11:00</t>
  </si>
  <si>
    <t>https://www.instagram.com/p/DcwQW1MD_qc/</t>
  </si>
  <si>
    <t>data</t>
  </si>
  <si>
    <t>hora</t>
  </si>
  <si>
    <t>conta</t>
  </si>
  <si>
    <t>tipo_post</t>
  </si>
  <si>
    <t>link</t>
  </si>
  <si>
    <t>alcance</t>
  </si>
  <si>
    <t>curtida</t>
  </si>
  <si>
    <t>compartilhamentos</t>
  </si>
  <si>
    <t>salvamentos</t>
  </si>
  <si>
    <t>seguidores</t>
  </si>
  <si>
    <t>engajamento</t>
  </si>
  <si>
    <t>taxa_engajamento</t>
  </si>
  <si>
    <t>imagem</t>
  </si>
  <si>
    <t>reels</t>
  </si>
  <si>
    <t>carrossel</t>
  </si>
  <si>
    <t>null</t>
  </si>
  <si>
    <t>tema</t>
  </si>
  <si>
    <t>evento</t>
  </si>
  <si>
    <t>institucional</t>
  </si>
  <si>
    <t>educacional</t>
  </si>
  <si>
    <t>comercial</t>
  </si>
  <si>
    <t>reforma tributaria</t>
  </si>
  <si>
    <t>jurídico</t>
  </si>
  <si>
    <t>post_id</t>
  </si>
  <si>
    <t>visualizacoes</t>
  </si>
  <si>
    <t>comentarios</t>
  </si>
  <si>
    <t>Soma de engajamento</t>
  </si>
  <si>
    <t>Rótulos de Linha</t>
  </si>
  <si>
    <t>Total Geral</t>
  </si>
  <si>
    <t>Pergunta</t>
  </si>
  <si>
    <t>1. Top 5 posts
Quais foram os 5 posts individuais com maior engajamento?</t>
  </si>
  <si>
    <t>2. Desempenho por conta
Quantos posts cada conta publicou, e qual o engajamento médio por conta?</t>
  </si>
  <si>
    <t>3. Engajamento por tema 
Quais temas têm melhor engajamento?</t>
  </si>
  <si>
    <t>4. Engajamento por tipo 
Quais tipos de post têm mais engajamento?</t>
  </si>
  <si>
    <t>5. Alcance por tipo
Qual o alcance médio por tipo de post?</t>
  </si>
  <si>
    <t>6. Temas recorrentes
Quais temas apareceram em mais de 2 posts (temas recorrentes na estratégia)?</t>
  </si>
  <si>
    <t>7. Opcional: acima da média
Quais posts tiveram taxa de engajamento acima da média geral da conta?</t>
  </si>
  <si>
    <t>Resposta/Aba</t>
  </si>
  <si>
    <t>1.Quais foram os 5 posts individuais com maior engajamento?</t>
  </si>
  <si>
    <t>Contagem de post_id</t>
  </si>
  <si>
    <t>Média de engajamento</t>
  </si>
  <si>
    <t>3.Quais temas têm melhor engajamento?</t>
  </si>
  <si>
    <t>4.Quais tipos de post têm mais engajamento?</t>
  </si>
  <si>
    <t>Média de alcance</t>
  </si>
  <si>
    <t>5.Qual o alcance médio por tipo de post?</t>
  </si>
  <si>
    <t>6.Quais temas apareceram em mais de 2 posts (temas recorrentes na estratégia)?</t>
  </si>
  <si>
    <t>Média de taxa_engajamento</t>
  </si>
  <si>
    <t>7.Quais posts tiveram taxa de engajamento acima da média geral da conta?</t>
  </si>
  <si>
    <t>2.Quantos posts cada conta publicou, e qual o engajamento médio por conta?</t>
  </si>
  <si>
    <t>Resposta da pergunta 1</t>
  </si>
  <si>
    <t>Resposta da pergunta 2</t>
  </si>
  <si>
    <t>Repsosta da pergunta 3</t>
  </si>
  <si>
    <t>Resposta da pergunta 4</t>
  </si>
  <si>
    <t>Reposta da pergunta 5</t>
  </si>
  <si>
    <t>Resposta da pergunta 6</t>
  </si>
  <si>
    <t>Resposta da pergunta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</si>
</sst>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theme="0"/>
      <name val="Arial"/>
      <family val="2"/>
    </font>
    <font>
      <b/>
      <sz val="10"/>
      <color rgb="FFFFFFFF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00336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4" fillId="3" borderId="2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3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0" xfId="1" applyAlignment="1">
      <alignment vertical="center"/>
    </xf>
  </cellXfs>
  <cellStyles count="2">
    <cellStyle name="Hiperlink" xfId="1" builtinId="8"/>
    <cellStyle name="Normal" xfId="0" builtinId="0"/>
  </cellStyles>
  <dxfs count="34">
    <dxf>
      <numFmt numFmtId="14" formatCode="0.00%"/>
    </dxf>
    <dxf>
      <numFmt numFmtId="14" formatCode="0.00%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numFmt numFmtId="2" formatCode="0.00"/>
    </dxf>
    <dxf>
      <numFmt numFmtId="2" formatCode="0.0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numFmt numFmtId="30" formatCode="@"/>
    </dxf>
    <dxf>
      <numFmt numFmtId="30" formatCode="@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164" formatCode="[$-F400]h:mm:ss\ AM/PM"/>
    </dxf>
    <dxf>
      <numFmt numFmtId="164" formatCode="[$-F400]h:mm:ss\ AM/PM"/>
      <border diagonalUp="0" diagonalDown="0" outline="0">
        <left/>
        <right/>
        <top/>
        <bottom/>
      </border>
    </dxf>
    <dxf>
      <numFmt numFmtId="19" formatCode="dd/mm/yyyy"/>
    </dxf>
    <dxf>
      <numFmt numFmtId="19" formatCode="dd/mm/yyyy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D9D9D9"/>
        </top>
        <bottom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" refreshedDate="46269.588410300923" createdVersion="8" refreshedVersion="8" minRefreshableVersion="3" recordCount="19" xr:uid="{16161712-7010-4925-BC88-58AFD49652F6}">
  <cacheSource type="worksheet">
    <worksheetSource ref="A1:P20" sheet="Dados"/>
  </cacheSource>
  <cacheFields count="16">
    <cacheField name="post_id" numFmtId="0">
      <sharedItems containsSemiMixedTypes="0" containsString="0" containsNumber="1" containsInteger="1" minValue="1" maxValue="19" count="1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data" numFmtId="14">
      <sharedItems containsSemiMixedTypes="0" containsNonDate="0" containsDate="1" containsString="0" minDate="2026-01-12T00:00:00" maxDate="2026-09-02T00:00:00"/>
    </cacheField>
    <cacheField name="hora" numFmtId="164">
      <sharedItems/>
    </cacheField>
    <cacheField name="conta" numFmtId="0">
      <sharedItems count="3">
        <s v="ronaldo.fcx"/>
        <s v="fcxconsultoria"/>
        <s v="acija_jpa"/>
      </sharedItems>
    </cacheField>
    <cacheField name="tipo_post" numFmtId="49">
      <sharedItems count="3">
        <s v="imagem"/>
        <s v="reels"/>
        <s v="carrossel"/>
      </sharedItems>
    </cacheField>
    <cacheField name="tema" numFmtId="49">
      <sharedItems count="6">
        <s v="evento"/>
        <s v="institucional"/>
        <s v="educacional"/>
        <s v="comercial"/>
        <s v="reforma tributaria"/>
        <s v="jurídico"/>
      </sharedItems>
    </cacheField>
    <cacheField name="link" numFmtId="0">
      <sharedItems/>
    </cacheField>
    <cacheField name="visualizacoes" numFmtId="2">
      <sharedItems containsSemiMixedTypes="0" containsString="0" containsNumber="1" containsInteger="1" minValue="157" maxValue="1081"/>
    </cacheField>
    <cacheField name="alcance" numFmtId="2">
      <sharedItems containsMixedTypes="1" containsNumber="1" containsInteger="1" minValue="76" maxValue="481" count="16">
        <s v="null"/>
        <n v="481"/>
        <n v="211"/>
        <n v="161"/>
        <n v="179"/>
        <n v="164"/>
        <n v="130"/>
        <n v="250"/>
        <n v="301"/>
        <n v="97"/>
        <n v="114"/>
        <n v="403"/>
        <n v="208"/>
        <n v="76"/>
        <n v="106"/>
        <n v="79"/>
      </sharedItems>
    </cacheField>
    <cacheField name="curtida" numFmtId="2">
      <sharedItems containsSemiMixedTypes="0" containsString="0" containsNumber="1" containsInteger="1" minValue="3" maxValue="40"/>
    </cacheField>
    <cacheField name="comentarios" numFmtId="2">
      <sharedItems containsSemiMixedTypes="0" containsString="0" containsNumber="1" containsInteger="1" minValue="0" maxValue="9"/>
    </cacheField>
    <cacheField name="compartilhamentos" numFmtId="2">
      <sharedItems containsSemiMixedTypes="0" containsString="0" containsNumber="1" containsInteger="1" minValue="0" maxValue="8"/>
    </cacheField>
    <cacheField name="salvamentos" numFmtId="2">
      <sharedItems containsSemiMixedTypes="0" containsString="0" containsNumber="1" containsInteger="1" minValue="0" maxValue="2"/>
    </cacheField>
    <cacheField name="seguidores" numFmtId="2">
      <sharedItems containsMixedTypes="1" containsNumber="1" containsInteger="1" minValue="0" maxValue="1"/>
    </cacheField>
    <cacheField name="engajamento" numFmtId="2">
      <sharedItems containsSemiMixedTypes="0" containsString="0" containsNumber="1" containsInteger="1" minValue="3" maxValue="49"/>
    </cacheField>
    <cacheField name="taxa_engajamento" numFmtId="10">
      <sharedItems containsMixedTypes="1" containsNumber="1" minValue="2.8301886792452831E-2" maxValue="0.15789473684210525" count="17">
        <s v="null"/>
        <n v="6.4449064449064453E-2"/>
        <n v="0.15165876777251186"/>
        <n v="0.11180124223602485"/>
        <n v="0.11173184357541899"/>
        <n v="6.7073170731707321E-2"/>
        <n v="8.0745341614906832E-2"/>
        <n v="6.9230769230769235E-2"/>
        <n v="7.1999999999999995E-2"/>
        <n v="3.3222591362126248E-2"/>
        <n v="5.1546391752577317E-2"/>
        <n v="9.6491228070175433E-2"/>
        <n v="3.7220843672456573E-2"/>
        <n v="0.11538461538461539"/>
        <n v="0.15789473684210525"/>
        <n v="2.8301886792452831E-2"/>
        <n v="0.10126582278481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d v="2026-01-12T00:00:00"/>
    <s v="09:49"/>
    <x v="0"/>
    <x v="0"/>
    <x v="0"/>
    <s v="https://www.instagram.com/p/DTa2uX7kZAQ/"/>
    <n v="1081"/>
    <x v="0"/>
    <n v="40"/>
    <n v="9"/>
    <n v="0"/>
    <n v="0"/>
    <s v="null"/>
    <n v="49"/>
    <x v="0"/>
  </r>
  <r>
    <x v="1"/>
    <d v="2026-02-13T00:00:00"/>
    <s v="12:34"/>
    <x v="1"/>
    <x v="1"/>
    <x v="1"/>
    <s v="https://www.instagram.com/reel/DUti_p7jAlc/"/>
    <n v="848"/>
    <x v="1"/>
    <n v="24"/>
    <n v="3"/>
    <n v="4"/>
    <n v="0"/>
    <n v="1"/>
    <n v="31"/>
    <x v="1"/>
  </r>
  <r>
    <x v="2"/>
    <d v="2026-03-06T00:00:00"/>
    <s v="13:00"/>
    <x v="1"/>
    <x v="2"/>
    <x v="1"/>
    <s v="https://www.instagram.com/p/DVjqs-Dga2l/"/>
    <n v="534"/>
    <x v="2"/>
    <n v="25"/>
    <n v="1"/>
    <n v="4"/>
    <n v="2"/>
    <n v="0"/>
    <n v="32"/>
    <x v="2"/>
  </r>
  <r>
    <x v="3"/>
    <d v="2026-03-24T00:00:00"/>
    <s v="15:00"/>
    <x v="1"/>
    <x v="2"/>
    <x v="1"/>
    <s v="https://www.instagram.com/p/DWSH2_9DcWj/"/>
    <n v="411"/>
    <x v="3"/>
    <n v="14"/>
    <n v="0"/>
    <n v="4"/>
    <n v="0"/>
    <n v="0"/>
    <n v="18"/>
    <x v="3"/>
  </r>
  <r>
    <x v="4"/>
    <d v="2026-03-25T00:00:00"/>
    <s v="12:00"/>
    <x v="1"/>
    <x v="2"/>
    <x v="2"/>
    <s v="https://www.instagram.com/p/DWUYGoYDUC3/"/>
    <n v="373"/>
    <x v="4"/>
    <n v="15"/>
    <n v="0"/>
    <n v="3"/>
    <n v="2"/>
    <n v="1"/>
    <n v="20"/>
    <x v="4"/>
  </r>
  <r>
    <x v="5"/>
    <d v="2026-03-27T00:00:00"/>
    <s v="08:30"/>
    <x v="1"/>
    <x v="2"/>
    <x v="2"/>
    <s v="https://www.instagram.com/p/DWZJnLSGTQQ/"/>
    <n v="285"/>
    <x v="5"/>
    <n v="10"/>
    <n v="0"/>
    <n v="1"/>
    <n v="0"/>
    <n v="0"/>
    <n v="11"/>
    <x v="5"/>
  </r>
  <r>
    <x v="6"/>
    <d v="2026-03-31T00:00:00"/>
    <s v="05:30"/>
    <x v="1"/>
    <x v="2"/>
    <x v="2"/>
    <s v="https://www.instagram.com/p/DWjIMBCD8KC/"/>
    <n v="339"/>
    <x v="3"/>
    <n v="12"/>
    <n v="0"/>
    <n v="1"/>
    <n v="0"/>
    <n v="0"/>
    <n v="13"/>
    <x v="6"/>
  </r>
  <r>
    <x v="7"/>
    <d v="2026-04-10T00:00:00"/>
    <s v="12:01"/>
    <x v="1"/>
    <x v="2"/>
    <x v="2"/>
    <s v="https://www.instagram.com/p/DW9k33Wjf27/"/>
    <n v="320"/>
    <x v="6"/>
    <n v="9"/>
    <n v="0"/>
    <n v="0"/>
    <n v="0"/>
    <n v="0"/>
    <n v="9"/>
    <x v="7"/>
  </r>
  <r>
    <x v="8"/>
    <d v="2026-05-11T00:00:00"/>
    <s v="11:08"/>
    <x v="1"/>
    <x v="2"/>
    <x v="3"/>
    <s v="https://www.instagram.com/p/DYNTbvSDtED/"/>
    <n v="689"/>
    <x v="7"/>
    <n v="10"/>
    <n v="0"/>
    <n v="8"/>
    <n v="0"/>
    <n v="0"/>
    <n v="18"/>
    <x v="8"/>
  </r>
  <r>
    <x v="9"/>
    <d v="2026-06-12T00:00:00"/>
    <s v="10:00"/>
    <x v="1"/>
    <x v="2"/>
    <x v="4"/>
    <s v="https://www.instagram.com/p/DZflKx7j-n0/"/>
    <n v="503"/>
    <x v="8"/>
    <n v="9"/>
    <n v="0"/>
    <n v="1"/>
    <n v="0"/>
    <n v="0"/>
    <n v="10"/>
    <x v="9"/>
  </r>
  <r>
    <x v="10"/>
    <d v="2026-06-30T00:00:00"/>
    <s v="09:56"/>
    <x v="2"/>
    <x v="1"/>
    <x v="3"/>
    <s v="https://www.instagram.com/reel/DaN64vDBpvo/"/>
    <n v="583"/>
    <x v="0"/>
    <n v="22"/>
    <n v="1"/>
    <n v="4"/>
    <n v="0"/>
    <s v="null"/>
    <n v="27"/>
    <x v="0"/>
  </r>
  <r>
    <x v="11"/>
    <d v="2026-07-03T00:00:00"/>
    <s v="09:00"/>
    <x v="1"/>
    <x v="0"/>
    <x v="2"/>
    <s v="https://www.instagram.com/p/DaVi8rhDF5o/"/>
    <n v="191"/>
    <x v="9"/>
    <n v="3"/>
    <n v="0"/>
    <n v="1"/>
    <n v="1"/>
    <n v="0"/>
    <n v="5"/>
    <x v="10"/>
  </r>
  <r>
    <x v="12"/>
    <d v="2026-07-09T00:00:00"/>
    <s v="05:00"/>
    <x v="1"/>
    <x v="0"/>
    <x v="2"/>
    <s v="https://www.instagram.com/p/DakkOtkDSJT/"/>
    <n v="211"/>
    <x v="10"/>
    <n v="10"/>
    <n v="0"/>
    <n v="1"/>
    <n v="0"/>
    <n v="0"/>
    <n v="11"/>
    <x v="11"/>
  </r>
  <r>
    <x v="13"/>
    <d v="2026-07-29T00:00:00"/>
    <s v="05:00"/>
    <x v="1"/>
    <x v="2"/>
    <x v="0"/>
    <s v="https://www.instagram.com/p/DbYEIxkAbCX/"/>
    <n v="933"/>
    <x v="11"/>
    <n v="13"/>
    <n v="0"/>
    <n v="2"/>
    <n v="0"/>
    <n v="0"/>
    <n v="15"/>
    <x v="12"/>
  </r>
  <r>
    <x v="14"/>
    <d v="2026-08-05T00:00:00"/>
    <s v="14:05"/>
    <x v="0"/>
    <x v="2"/>
    <x v="0"/>
    <s v="https://www.instagram.com/p/DbrEDB2AR6c/"/>
    <n v="799"/>
    <x v="0"/>
    <n v="31"/>
    <n v="5"/>
    <n v="1"/>
    <n v="0"/>
    <s v="null"/>
    <n v="37"/>
    <x v="0"/>
  </r>
  <r>
    <x v="15"/>
    <d v="2026-08-11T00:00:00"/>
    <s v="07:37"/>
    <x v="1"/>
    <x v="1"/>
    <x v="0"/>
    <s v="https://www.instagram.com/reel/Db50VwFsyiM/"/>
    <n v="330"/>
    <x v="12"/>
    <n v="20"/>
    <n v="1"/>
    <n v="3"/>
    <n v="0"/>
    <n v="0"/>
    <n v="24"/>
    <x v="13"/>
  </r>
  <r>
    <x v="16"/>
    <d v="2026-08-11T00:00:00"/>
    <s v="11:30"/>
    <x v="1"/>
    <x v="0"/>
    <x v="5"/>
    <s v="https://www.instagram.com/p/Db6PFgcDfTe/"/>
    <n v="157"/>
    <x v="13"/>
    <n v="10"/>
    <n v="2"/>
    <n v="0"/>
    <n v="0"/>
    <n v="0"/>
    <n v="12"/>
    <x v="14"/>
  </r>
  <r>
    <x v="17"/>
    <d v="2026-08-14T00:00:00"/>
    <s v="07:16"/>
    <x v="1"/>
    <x v="0"/>
    <x v="4"/>
    <s v="https://www.instagram.com/p/DcBgaTfn9H3/"/>
    <n v="474"/>
    <x v="14"/>
    <n v="3"/>
    <n v="0"/>
    <n v="0"/>
    <n v="0"/>
    <n v="0"/>
    <n v="3"/>
    <x v="15"/>
  </r>
  <r>
    <x v="18"/>
    <d v="2026-09-01T00:00:00"/>
    <s v="11:00"/>
    <x v="1"/>
    <x v="2"/>
    <x v="5"/>
    <s v="https://www.instagram.com/p/DcwQW1MD_qc/"/>
    <n v="185"/>
    <x v="15"/>
    <n v="7"/>
    <n v="0"/>
    <n v="0"/>
    <n v="1"/>
    <n v="0"/>
    <n v="8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CC23D-B525-4CFD-A9BD-B4EE012CB9F5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axis="axisRow" showAll="0" measureFilter="1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0"/>
  </rowFields>
  <rowItems count="6">
    <i>
      <x/>
    </i>
    <i>
      <x v="1"/>
    </i>
    <i>
      <x v="2"/>
    </i>
    <i>
      <x v="10"/>
    </i>
    <i>
      <x v="14"/>
    </i>
    <i t="grand">
      <x/>
    </i>
  </rowItems>
  <colItems count="1">
    <i/>
  </colItems>
  <dataFields count="1">
    <dataField name="Soma de engajamento" fld="14" baseField="0" baseItem="0" numFmtId="2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21930-C255-4D27-8CAC-106D06CF1551}" name="Tabela dinâmica1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3" firstHeaderRow="1" firstDataRow="1" firstDataCol="1"/>
  <pivotFields count="16">
    <pivotField showAll="0"/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édia de engajamento" fld="14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D0093-902A-4016-8B03-09DF954799A1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dataField="1" showAll="0"/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ost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7EFAE-2627-4BBD-A6D3-436A577DBD69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 sortType="descending">
      <items count="7">
        <item x="3"/>
        <item x="2"/>
        <item x="0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5"/>
  </rowFields>
  <rowItems count="7">
    <i>
      <x v="2"/>
    </i>
    <i>
      <x v="3"/>
    </i>
    <i>
      <x/>
    </i>
    <i>
      <x v="1"/>
    </i>
    <i>
      <x v="4"/>
    </i>
    <i>
      <x v="5"/>
    </i>
    <i t="grand">
      <x/>
    </i>
  </rowItems>
  <colItems count="1">
    <i/>
  </colItems>
  <dataFields count="1">
    <dataField name="Média de engajamento" fld="14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AA227-773D-4DA2-A81E-DD71E2EAB3B3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numFmtId="14"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Média de engajamento" fld="14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FD-10F0-49EE-A6BE-F2C2D2362BCE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numFmtId="14"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dataField="1" showAll="0">
      <items count="17">
        <item x="13"/>
        <item x="15"/>
        <item x="9"/>
        <item x="14"/>
        <item x="10"/>
        <item x="6"/>
        <item x="3"/>
        <item x="5"/>
        <item x="4"/>
        <item x="12"/>
        <item x="2"/>
        <item x="7"/>
        <item x="8"/>
        <item x="11"/>
        <item x="1"/>
        <item x="0"/>
        <item t="default"/>
      </items>
    </pivotField>
    <pivotField numFmtId="2" showAll="0"/>
    <pivotField numFmtId="2" showAll="0"/>
    <pivotField numFmtId="2" showAll="0"/>
    <pivotField numFmtId="2" showAll="0"/>
    <pivotField showAll="0"/>
    <pivotField numFmtId="2"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Média de alcance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3C644-BBB2-4AD9-B56C-473652367B28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dataField="1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showAll="0"/>
    <pivotField showAll="0"/>
    <pivotField axis="axisRow" showAll="0" measureFilter="1">
      <items count="7">
        <item x="3"/>
        <item x="2"/>
        <item x="0"/>
        <item x="1"/>
        <item x="5"/>
        <item x="4"/>
        <item t="default"/>
      </items>
    </pivotField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ntagem de post_id" fld="0" subtotal="count" baseField="5" baseItem="0"/>
  </dataFields>
  <pivotTableStyleInfo name="PivotStyleLight16" showRowHeaders="1" showColHeaders="1" showRowStripes="0" showColStripes="0" showLastColumn="1"/>
  <filters count="1">
    <filter fld="5" type="valueGreaterThan" evalOrder="-1" id="1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2988C-E698-4F44-AE5A-9A8E09CD43C4}" name="Tabela dinâmica12" cacheId="4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6:B14" firstHeaderRow="1" firstDataRow="1" firstDataCol="1"/>
  <pivotFields count="16">
    <pivotField axis="axisRow" showAll="0" measureFilter="1">
      <items count="20">
        <item x="0"/>
        <item x="1"/>
        <item sd="0" x="2"/>
        <item sd="0" x="3"/>
        <item sd="0" x="4"/>
        <item x="5"/>
        <item x="6"/>
        <item x="7"/>
        <item x="8"/>
        <item x="9"/>
        <item x="10"/>
        <item x="11"/>
        <item sd="0" x="12"/>
        <item x="13"/>
        <item x="14"/>
        <item sd="0" x="15"/>
        <item sd="0" x="16"/>
        <item x="17"/>
        <item sd="0" x="18"/>
        <item t="default"/>
      </items>
    </pivotField>
    <pivotField numFmtId="14" showAll="0"/>
    <pivotField showAll="0"/>
    <pivotField showAll="0">
      <items count="4">
        <item x="2"/>
        <item sd="0" x="1"/>
        <item x="0"/>
        <item t="default"/>
      </items>
    </pivotField>
    <pivotField showAll="0"/>
    <pivotField axis="axisRow" showAll="0">
      <items count="7">
        <item x="3"/>
        <item x="2"/>
        <item x="0"/>
        <item x="1"/>
        <item x="5"/>
        <item x="4"/>
        <item t="default"/>
      </items>
    </pivotField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dataField="1" showAll="0">
      <items count="18">
        <item x="15"/>
        <item x="9"/>
        <item x="12"/>
        <item x="10"/>
        <item x="1"/>
        <item x="5"/>
        <item x="7"/>
        <item x="8"/>
        <item x="6"/>
        <item x="11"/>
        <item x="16"/>
        <item x="4"/>
        <item x="3"/>
        <item x="13"/>
        <item x="2"/>
        <item x="14"/>
        <item x="0"/>
        <item t="default"/>
      </items>
    </pivotField>
  </pivotFields>
  <rowFields count="2">
    <field x="0"/>
    <field x="5"/>
  </rowFields>
  <rowItems count="8">
    <i>
      <x v="2"/>
    </i>
    <i>
      <x v="3"/>
    </i>
    <i>
      <x v="4"/>
    </i>
    <i>
      <x v="12"/>
    </i>
    <i>
      <x v="15"/>
    </i>
    <i>
      <x v="16"/>
    </i>
    <i>
      <x v="18"/>
    </i>
    <i t="grand">
      <x/>
    </i>
  </rowItems>
  <colItems count="1">
    <i/>
  </colItems>
  <dataFields count="1">
    <dataField name="Média de taxa_engajamento" fld="15" subtotal="average" baseField="0" baseItem="0"/>
  </dataField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8.4376145E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5A02B-9B35-45E1-813B-6052C2DE4186}" name="Tabela dinâmica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showAll="0"/>
    <pivotField showAll="0"/>
    <pivotField showAll="0">
      <items count="7">
        <item x="3"/>
        <item x="2"/>
        <item x="0"/>
        <item x="1"/>
        <item x="5"/>
        <item x="4"/>
        <item t="default"/>
      </items>
    </pivotField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dataField="1" showAll="0">
      <items count="18">
        <item x="15"/>
        <item x="9"/>
        <item x="12"/>
        <item x="10"/>
        <item x="1"/>
        <item x="5"/>
        <item x="7"/>
        <item x="8"/>
        <item x="6"/>
        <item x="11"/>
        <item x="16"/>
        <item x="4"/>
        <item x="3"/>
        <item x="13"/>
        <item x="2"/>
        <item x="14"/>
        <item x="0"/>
        <item t="default"/>
      </items>
    </pivotField>
  </pivotFields>
  <rowItems count="1">
    <i/>
  </rowItems>
  <colItems count="1">
    <i/>
  </colItems>
  <dataFields count="1">
    <dataField name="Média de taxa_engajamento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56AC0-1E93-40A2-AEC4-B58DDE323C8B}" name="TabelaDados" displayName="TabelaDados" ref="B1:P21" totalsRowCount="1">
  <autoFilter ref="B1:P20" xr:uid="{64556AC0-1E93-40A2-AEC4-B58DDE323C8B}"/>
  <tableColumns count="15">
    <tableColumn id="1" xr3:uid="{0D31574F-B9E6-40F0-98BD-0B6015554C23}" name="data" dataDxfId="26" totalsRowDxfId="27"/>
    <tableColumn id="2" xr3:uid="{4199A231-DFA6-4837-8B7F-402B7048DCBD}" name="hora" dataDxfId="24" totalsRowDxfId="25"/>
    <tableColumn id="3" xr3:uid="{3A84990B-B786-4CE8-A35F-2514EC26A9B8}" name="conta" totalsRowDxfId="23"/>
    <tableColumn id="4" xr3:uid="{98E4F3F6-E1F5-42E5-8BFF-9C78ED3CDDF7}" name="tipo_post" dataDxfId="21" totalsRowDxfId="22"/>
    <tableColumn id="16" xr3:uid="{F25DB61D-0C08-48A3-AD23-92E3D863FBE0}" name="tema" dataDxfId="19" totalsRowDxfId="20"/>
    <tableColumn id="6" xr3:uid="{B418769C-C70B-459A-AE83-A9392AA4212C}" name="link" totalsRowDxfId="18"/>
    <tableColumn id="7" xr3:uid="{F14EADEC-8B96-4A32-838C-796D4A3BE516}" name="visualizacoes" dataDxfId="16" totalsRowDxfId="17"/>
    <tableColumn id="8" xr3:uid="{28F490AC-FABD-4E66-92B5-B4CA456A6A0D}" name="alcance" dataDxfId="14" totalsRowDxfId="15"/>
    <tableColumn id="9" xr3:uid="{4D159651-D6E6-4300-8A56-6229F96D0CA2}" name="curtida" dataDxfId="12" totalsRowDxfId="13"/>
    <tableColumn id="10" xr3:uid="{5389B3A5-3EA5-44E9-A499-3C666E1B8D31}" name="comentarios" dataDxfId="10" totalsRowDxfId="11"/>
    <tableColumn id="11" xr3:uid="{D95B0A7D-742C-4D79-8AD6-C4EC55BFCA90}" name="compartilhamentos" dataDxfId="8" totalsRowDxfId="9"/>
    <tableColumn id="12" xr3:uid="{940D1EFA-54B0-4F37-974E-F3E71AC576F6}" name="salvamentos" dataDxfId="6" totalsRowDxfId="7"/>
    <tableColumn id="13" xr3:uid="{EA72B997-1CD9-43FE-BC6F-77C347B2F210}" name="seguidores" dataDxfId="4" totalsRowDxfId="5"/>
    <tableColumn id="14" xr3:uid="{08D5285D-DE08-461A-85C1-BDB30FB6AD72}" name="engajamento" dataDxfId="2" totalsRowDxfId="3">
      <calculatedColumnFormula>SUM(J2,K2,L2,M2)</calculatedColumnFormula>
    </tableColumn>
    <tableColumn id="15" xr3:uid="{195341C4-86DC-4750-BA7B-C17E499F2453}" name="taxa_engajamento" dataDxfId="0" totalsRowDxfId="1">
      <calculatedColumnFormula>IFERROR(O2/I2,"")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A71BE-B0D7-4002-894C-9B9BFD89951A}" name="Tabela3" displayName="Tabela3" ref="A1:A20" totalsRowShown="0" headerRowDxfId="33" dataDxfId="31" headerRowBorderDxfId="32" tableBorderDxfId="30" totalsRowBorderDxfId="29">
  <autoFilter ref="A1:A20" xr:uid="{EB3A71BE-B0D7-4002-894C-9B9BFD89951A}"/>
  <tableColumns count="1">
    <tableColumn id="1" xr3:uid="{E02EB0FD-0332-4B0B-B737-2E0C47A230D5}" name="post_id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W9k33Wjf27/" TargetMode="External"/><Relationship Id="rId13" Type="http://schemas.openxmlformats.org/officeDocument/2006/relationships/hyperlink" Target="https://www.instagram.com/p/DakkOtkDSJT/" TargetMode="External"/><Relationship Id="rId18" Type="http://schemas.openxmlformats.org/officeDocument/2006/relationships/hyperlink" Target="https://www.instagram.com/p/DcBgaTfn9H3/" TargetMode="External"/><Relationship Id="rId3" Type="http://schemas.openxmlformats.org/officeDocument/2006/relationships/hyperlink" Target="https://www.instagram.com/p/DVjqs-Dga2l/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www.instagram.com/p/DWjIMBCD8KC/" TargetMode="External"/><Relationship Id="rId12" Type="http://schemas.openxmlformats.org/officeDocument/2006/relationships/hyperlink" Target="https://www.instagram.com/p/DaVi8rhDF5o/" TargetMode="External"/><Relationship Id="rId17" Type="http://schemas.openxmlformats.org/officeDocument/2006/relationships/hyperlink" Target="https://www.instagram.com/p/Db6PFgcDfTe/" TargetMode="External"/><Relationship Id="rId2" Type="http://schemas.openxmlformats.org/officeDocument/2006/relationships/hyperlink" Target="https://www.instagram.com/reel/DUti_p7jAlc/" TargetMode="External"/><Relationship Id="rId16" Type="http://schemas.openxmlformats.org/officeDocument/2006/relationships/hyperlink" Target="https://www.instagram.com/reel/Db50VwFsyiM/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instagram.com/p/DTa2uX7kZAQ/" TargetMode="External"/><Relationship Id="rId6" Type="http://schemas.openxmlformats.org/officeDocument/2006/relationships/hyperlink" Target="https://www.instagram.com/p/DWZJnLSGTQQ/" TargetMode="External"/><Relationship Id="rId11" Type="http://schemas.openxmlformats.org/officeDocument/2006/relationships/hyperlink" Target="https://www.instagram.com/reel/DaN64vDBpvo/" TargetMode="External"/><Relationship Id="rId5" Type="http://schemas.openxmlformats.org/officeDocument/2006/relationships/hyperlink" Target="https://www.instagram.com/p/DWUYGoYDUC3/" TargetMode="External"/><Relationship Id="rId15" Type="http://schemas.openxmlformats.org/officeDocument/2006/relationships/hyperlink" Target="https://www.instagram.com/p/DbrEDB2AR6c/" TargetMode="External"/><Relationship Id="rId10" Type="http://schemas.openxmlformats.org/officeDocument/2006/relationships/hyperlink" Target="https://www.instagram.com/p/DZflKx7j-n0/" TargetMode="External"/><Relationship Id="rId19" Type="http://schemas.openxmlformats.org/officeDocument/2006/relationships/hyperlink" Target="https://www.instagram.com/p/DcwQW1MD_qc/" TargetMode="External"/><Relationship Id="rId4" Type="http://schemas.openxmlformats.org/officeDocument/2006/relationships/hyperlink" Target="https://www.instagram.com/p/DWSH2_9DcWj/" TargetMode="External"/><Relationship Id="rId9" Type="http://schemas.openxmlformats.org/officeDocument/2006/relationships/hyperlink" Target="https://www.instagram.com/p/DYNTbvSDtED/" TargetMode="External"/><Relationship Id="rId14" Type="http://schemas.openxmlformats.org/officeDocument/2006/relationships/hyperlink" Target="https://www.instagram.com/p/DbYEIxkAbC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BB42-4ADB-499C-8EED-8867F6739678}">
  <dimension ref="A1:B8"/>
  <sheetViews>
    <sheetView tabSelected="1" workbookViewId="0">
      <selection activeCell="B1" sqref="B1"/>
    </sheetView>
  </sheetViews>
  <sheetFormatPr defaultRowHeight="15" x14ac:dyDescent="0.25"/>
  <cols>
    <col min="1" max="1" width="72" customWidth="1"/>
    <col min="2" max="2" width="78.7109375" customWidth="1"/>
  </cols>
  <sheetData>
    <row r="1" spans="1:2" ht="18.75" x14ac:dyDescent="0.3">
      <c r="A1" s="27" t="s">
        <v>69</v>
      </c>
      <c r="B1" s="27" t="s">
        <v>77</v>
      </c>
    </row>
    <row r="2" spans="1:2" ht="30" x14ac:dyDescent="0.25">
      <c r="A2" s="29" t="s">
        <v>70</v>
      </c>
      <c r="B2" s="30" t="s">
        <v>89</v>
      </c>
    </row>
    <row r="3" spans="1:2" ht="30" x14ac:dyDescent="0.25">
      <c r="A3" s="29" t="s">
        <v>71</v>
      </c>
      <c r="B3" s="30" t="s">
        <v>90</v>
      </c>
    </row>
    <row r="4" spans="1:2" ht="30" x14ac:dyDescent="0.25">
      <c r="A4" s="29" t="s">
        <v>72</v>
      </c>
      <c r="B4" s="30" t="s">
        <v>91</v>
      </c>
    </row>
    <row r="5" spans="1:2" ht="30" x14ac:dyDescent="0.25">
      <c r="A5" s="29" t="s">
        <v>73</v>
      </c>
      <c r="B5" s="30" t="s">
        <v>92</v>
      </c>
    </row>
    <row r="6" spans="1:2" ht="30" x14ac:dyDescent="0.25">
      <c r="A6" s="29" t="s">
        <v>74</v>
      </c>
      <c r="B6" s="30" t="s">
        <v>93</v>
      </c>
    </row>
    <row r="7" spans="1:2" ht="45" x14ac:dyDescent="0.25">
      <c r="A7" s="29" t="s">
        <v>75</v>
      </c>
      <c r="B7" s="30" t="s">
        <v>94</v>
      </c>
    </row>
    <row r="8" spans="1:2" ht="30" x14ac:dyDescent="0.25">
      <c r="A8" s="29" t="s">
        <v>76</v>
      </c>
      <c r="B8" s="30" t="s">
        <v>95</v>
      </c>
    </row>
  </sheetData>
  <hyperlinks>
    <hyperlink ref="B2" location="Pergunta1!A1" display="Resposta da pergunta 1" xr:uid="{E1B7874C-B2AB-4311-8362-E560BD8978D5}"/>
    <hyperlink ref="B3" location="Pergunta2!A1" display="Resposta da pergunta 2" xr:uid="{FB4959D8-65BF-4762-B1B7-A0221A35FB39}"/>
    <hyperlink ref="B4" location="Pergunta3!A1" display="Repsosta da pergunta 3" xr:uid="{0D55C80B-88B9-4B8C-A950-B5BED1B129B6}"/>
    <hyperlink ref="B5" location="'Perguntas e respostas'!A1" display="Resposta da pergunta 4" xr:uid="{3FB840CF-2D82-43B0-8ACC-12DD3393005B}"/>
    <hyperlink ref="B6" location="'Perguntas e respostas'!A1" display="Reposta da pergunta 5" xr:uid="{09D3A330-C77E-4AB7-91F7-EE9EF0089677}"/>
    <hyperlink ref="B7" location="Pergunta6!A1" display="Resposta da pergunta 6" xr:uid="{A9E1D0E0-0ACB-4F65-B539-E0C9E05FA01F}"/>
    <hyperlink ref="B8" location="'Perguntas e respostas'!A1" display="Resposta da pergunta 7" xr:uid="{DF0551D0-C70A-41BA-8DA7-A768429C3B1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3B95-F056-4BA9-911C-92E3B49AE54A}">
  <dimension ref="A2:B9"/>
  <sheetViews>
    <sheetView workbookViewId="0"/>
  </sheetViews>
  <sheetFormatPr defaultRowHeight="15" x14ac:dyDescent="0.25"/>
  <cols>
    <col min="1" max="1" width="18.42578125" bestFit="1" customWidth="1"/>
    <col min="2" max="2" width="21.140625" bestFit="1" customWidth="1"/>
  </cols>
  <sheetData>
    <row r="2" spans="1:2" ht="29.25" customHeight="1" x14ac:dyDescent="0.25">
      <c r="A2" s="28" t="s">
        <v>78</v>
      </c>
    </row>
    <row r="3" spans="1:2" x14ac:dyDescent="0.25">
      <c r="A3" s="24" t="s">
        <v>67</v>
      </c>
      <c r="B3" t="s">
        <v>66</v>
      </c>
    </row>
    <row r="4" spans="1:2" x14ac:dyDescent="0.25">
      <c r="A4" s="25">
        <v>1</v>
      </c>
      <c r="B4" s="7">
        <v>49</v>
      </c>
    </row>
    <row r="5" spans="1:2" x14ac:dyDescent="0.25">
      <c r="A5" s="25">
        <v>2</v>
      </c>
      <c r="B5" s="7">
        <v>31</v>
      </c>
    </row>
    <row r="6" spans="1:2" x14ac:dyDescent="0.25">
      <c r="A6" s="25">
        <v>3</v>
      </c>
      <c r="B6" s="7">
        <v>32</v>
      </c>
    </row>
    <row r="7" spans="1:2" x14ac:dyDescent="0.25">
      <c r="A7" s="25">
        <v>11</v>
      </c>
      <c r="B7" s="7">
        <v>27</v>
      </c>
    </row>
    <row r="8" spans="1:2" x14ac:dyDescent="0.25">
      <c r="A8" s="25">
        <v>15</v>
      </c>
      <c r="B8" s="7">
        <v>37</v>
      </c>
    </row>
    <row r="9" spans="1:2" x14ac:dyDescent="0.25">
      <c r="A9" s="25" t="s">
        <v>68</v>
      </c>
      <c r="B9" s="7">
        <v>176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21FD-2129-4D25-978F-685DBD4ADF2C}">
  <dimension ref="A2:B13"/>
  <sheetViews>
    <sheetView workbookViewId="0">
      <selection activeCell="E17" sqref="E17"/>
    </sheetView>
  </sheetViews>
  <sheetFormatPr defaultRowHeight="15" x14ac:dyDescent="0.25"/>
  <cols>
    <col min="1" max="1" width="18.42578125" bestFit="1" customWidth="1"/>
    <col min="2" max="2" width="21.7109375" bestFit="1" customWidth="1"/>
  </cols>
  <sheetData>
    <row r="2" spans="1:2" x14ac:dyDescent="0.25">
      <c r="A2" t="s">
        <v>88</v>
      </c>
    </row>
    <row r="3" spans="1:2" x14ac:dyDescent="0.25">
      <c r="A3" s="24" t="s">
        <v>67</v>
      </c>
      <c r="B3" t="s">
        <v>79</v>
      </c>
    </row>
    <row r="4" spans="1:2" x14ac:dyDescent="0.25">
      <c r="A4" s="25" t="s">
        <v>23</v>
      </c>
      <c r="B4" s="26">
        <v>1</v>
      </c>
    </row>
    <row r="5" spans="1:2" x14ac:dyDescent="0.25">
      <c r="A5" s="25" t="s">
        <v>4</v>
      </c>
      <c r="B5" s="26">
        <v>16</v>
      </c>
    </row>
    <row r="6" spans="1:2" x14ac:dyDescent="0.25">
      <c r="A6" s="25" t="s">
        <v>1</v>
      </c>
      <c r="B6" s="26">
        <v>2</v>
      </c>
    </row>
    <row r="7" spans="1:2" x14ac:dyDescent="0.25">
      <c r="A7" s="25" t="s">
        <v>68</v>
      </c>
      <c r="B7" s="26">
        <v>19</v>
      </c>
    </row>
    <row r="9" spans="1:2" x14ac:dyDescent="0.25">
      <c r="A9" s="24" t="s">
        <v>67</v>
      </c>
      <c r="B9" t="s">
        <v>80</v>
      </c>
    </row>
    <row r="10" spans="1:2" x14ac:dyDescent="0.25">
      <c r="A10" s="25" t="s">
        <v>23</v>
      </c>
      <c r="B10" s="7">
        <v>27</v>
      </c>
    </row>
    <row r="11" spans="1:2" x14ac:dyDescent="0.25">
      <c r="A11" s="25" t="s">
        <v>4</v>
      </c>
      <c r="B11" s="7">
        <v>15</v>
      </c>
    </row>
    <row r="12" spans="1:2" x14ac:dyDescent="0.25">
      <c r="A12" s="25" t="s">
        <v>1</v>
      </c>
      <c r="B12" s="7">
        <v>43</v>
      </c>
    </row>
    <row r="13" spans="1:2" x14ac:dyDescent="0.25">
      <c r="A13" s="25" t="s">
        <v>68</v>
      </c>
      <c r="B13" s="7">
        <v>18.578947368421051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B871-B72D-4AD0-A257-CE2AD8D7EEB3}">
  <dimension ref="A2:B10"/>
  <sheetViews>
    <sheetView workbookViewId="0">
      <selection activeCell="C9" sqref="C9"/>
    </sheetView>
  </sheetViews>
  <sheetFormatPr defaultRowHeight="15" x14ac:dyDescent="0.25"/>
  <cols>
    <col min="1" max="1" width="18.42578125" bestFit="1" customWidth="1"/>
    <col min="2" max="2" width="21.7109375" bestFit="1" customWidth="1"/>
  </cols>
  <sheetData>
    <row r="2" spans="1:2" x14ac:dyDescent="0.25">
      <c r="A2" t="s">
        <v>81</v>
      </c>
    </row>
    <row r="3" spans="1:2" x14ac:dyDescent="0.25">
      <c r="A3" s="24" t="s">
        <v>67</v>
      </c>
      <c r="B3" t="s">
        <v>80</v>
      </c>
    </row>
    <row r="4" spans="1:2" x14ac:dyDescent="0.25">
      <c r="A4" s="25" t="s">
        <v>57</v>
      </c>
      <c r="B4" s="7">
        <v>31.25</v>
      </c>
    </row>
    <row r="5" spans="1:2" x14ac:dyDescent="0.25">
      <c r="A5" s="25" t="s">
        <v>58</v>
      </c>
      <c r="B5" s="7">
        <v>27</v>
      </c>
    </row>
    <row r="6" spans="1:2" x14ac:dyDescent="0.25">
      <c r="A6" s="25" t="s">
        <v>60</v>
      </c>
      <c r="B6" s="7">
        <v>22.5</v>
      </c>
    </row>
    <row r="7" spans="1:2" x14ac:dyDescent="0.25">
      <c r="A7" s="25" t="s">
        <v>59</v>
      </c>
      <c r="B7" s="7">
        <v>11.5</v>
      </c>
    </row>
    <row r="8" spans="1:2" x14ac:dyDescent="0.25">
      <c r="A8" s="25" t="s">
        <v>62</v>
      </c>
      <c r="B8" s="7">
        <v>10</v>
      </c>
    </row>
    <row r="9" spans="1:2" x14ac:dyDescent="0.25">
      <c r="A9" s="25" t="s">
        <v>61</v>
      </c>
      <c r="B9" s="7">
        <v>6.5</v>
      </c>
    </row>
    <row r="10" spans="1:2" x14ac:dyDescent="0.25">
      <c r="A10" s="25" t="s">
        <v>68</v>
      </c>
      <c r="B10" s="7">
        <v>18.578947368421051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95F-3CDA-46A5-A8BB-45E0D7797A02}">
  <dimension ref="A2:B7"/>
  <sheetViews>
    <sheetView workbookViewId="0">
      <selection activeCell="B11" sqref="B11"/>
    </sheetView>
  </sheetViews>
  <sheetFormatPr defaultRowHeight="15" x14ac:dyDescent="0.25"/>
  <cols>
    <col min="1" max="1" width="18.42578125" bestFit="1" customWidth="1"/>
    <col min="2" max="2" width="21.7109375" bestFit="1" customWidth="1"/>
  </cols>
  <sheetData>
    <row r="2" spans="1:2" x14ac:dyDescent="0.25">
      <c r="A2" t="s">
        <v>82</v>
      </c>
    </row>
    <row r="3" spans="1:2" x14ac:dyDescent="0.25">
      <c r="A3" s="24" t="s">
        <v>67</v>
      </c>
      <c r="B3" t="s">
        <v>80</v>
      </c>
    </row>
    <row r="4" spans="1:2" x14ac:dyDescent="0.25">
      <c r="A4" s="25" t="s">
        <v>53</v>
      </c>
      <c r="B4" s="7">
        <v>27.333333333333332</v>
      </c>
    </row>
    <row r="5" spans="1:2" x14ac:dyDescent="0.25">
      <c r="A5" s="25" t="s">
        <v>54</v>
      </c>
      <c r="B5" s="7">
        <v>17.363636363636363</v>
      </c>
    </row>
    <row r="6" spans="1:2" x14ac:dyDescent="0.25">
      <c r="A6" s="25" t="s">
        <v>52</v>
      </c>
      <c r="B6" s="7">
        <v>16</v>
      </c>
    </row>
    <row r="7" spans="1:2" x14ac:dyDescent="0.25">
      <c r="A7" s="25" t="s">
        <v>68</v>
      </c>
      <c r="B7" s="7">
        <v>18.578947368421051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A62-0097-4573-BB3E-5798F2709838}">
  <dimension ref="A2:B7"/>
  <sheetViews>
    <sheetView workbookViewId="0">
      <selection activeCell="B10" sqref="B10"/>
    </sheetView>
  </sheetViews>
  <sheetFormatPr defaultRowHeight="15" x14ac:dyDescent="0.25"/>
  <cols>
    <col min="1" max="1" width="18.42578125" bestFit="1" customWidth="1"/>
    <col min="2" max="2" width="16.5703125" bestFit="1" customWidth="1"/>
  </cols>
  <sheetData>
    <row r="2" spans="1:2" x14ac:dyDescent="0.25">
      <c r="A2" t="s">
        <v>84</v>
      </c>
    </row>
    <row r="3" spans="1:2" x14ac:dyDescent="0.25">
      <c r="A3" s="24" t="s">
        <v>67</v>
      </c>
      <c r="B3" t="s">
        <v>83</v>
      </c>
    </row>
    <row r="4" spans="1:2" x14ac:dyDescent="0.25">
      <c r="A4" s="25" t="s">
        <v>53</v>
      </c>
      <c r="B4" s="26">
        <v>344.5</v>
      </c>
    </row>
    <row r="5" spans="1:2" x14ac:dyDescent="0.25">
      <c r="A5" s="25" t="s">
        <v>54</v>
      </c>
      <c r="B5" s="26">
        <v>203.9</v>
      </c>
    </row>
    <row r="6" spans="1:2" x14ac:dyDescent="0.25">
      <c r="A6" s="25" t="s">
        <v>52</v>
      </c>
      <c r="B6" s="26">
        <v>98.25</v>
      </c>
    </row>
    <row r="7" spans="1:2" x14ac:dyDescent="0.25">
      <c r="A7" s="25" t="s">
        <v>68</v>
      </c>
      <c r="B7" s="26">
        <v>195.0625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3084-52FB-495D-BB03-3F901F9E18CB}">
  <dimension ref="A2:B7"/>
  <sheetViews>
    <sheetView workbookViewId="0">
      <selection activeCell="B11" sqref="B11"/>
    </sheetView>
  </sheetViews>
  <sheetFormatPr defaultRowHeight="15" x14ac:dyDescent="0.25"/>
  <cols>
    <col min="1" max="1" width="18.42578125" bestFit="1" customWidth="1"/>
    <col min="2" max="2" width="20.28515625" bestFit="1" customWidth="1"/>
  </cols>
  <sheetData>
    <row r="2" spans="1:2" x14ac:dyDescent="0.25">
      <c r="A2" t="s">
        <v>85</v>
      </c>
    </row>
    <row r="3" spans="1:2" x14ac:dyDescent="0.25">
      <c r="A3" s="24" t="s">
        <v>67</v>
      </c>
      <c r="B3" t="s">
        <v>79</v>
      </c>
    </row>
    <row r="4" spans="1:2" x14ac:dyDescent="0.25">
      <c r="A4" s="25" t="s">
        <v>59</v>
      </c>
      <c r="B4" s="26">
        <v>6</v>
      </c>
    </row>
    <row r="5" spans="1:2" x14ac:dyDescent="0.25">
      <c r="A5" s="25" t="s">
        <v>57</v>
      </c>
      <c r="B5" s="26">
        <v>4</v>
      </c>
    </row>
    <row r="6" spans="1:2" x14ac:dyDescent="0.25">
      <c r="A6" s="25" t="s">
        <v>58</v>
      </c>
      <c r="B6" s="26">
        <v>3</v>
      </c>
    </row>
    <row r="7" spans="1:2" x14ac:dyDescent="0.25">
      <c r="A7" s="25" t="s">
        <v>68</v>
      </c>
      <c r="B7" s="26">
        <v>13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AF4C-3733-4FF9-956C-D83FA869F807}">
  <dimension ref="A2:B14"/>
  <sheetViews>
    <sheetView workbookViewId="0">
      <selection activeCell="H11" sqref="H11"/>
    </sheetView>
  </sheetViews>
  <sheetFormatPr defaultRowHeight="15" x14ac:dyDescent="0.25"/>
  <cols>
    <col min="1" max="1" width="27" customWidth="1"/>
    <col min="2" max="2" width="26.42578125" bestFit="1" customWidth="1"/>
    <col min="3" max="3" width="15.85546875" bestFit="1" customWidth="1"/>
  </cols>
  <sheetData>
    <row r="2" spans="1:2" x14ac:dyDescent="0.25">
      <c r="A2" t="s">
        <v>87</v>
      </c>
    </row>
    <row r="3" spans="1:2" x14ac:dyDescent="0.25">
      <c r="A3" t="s">
        <v>86</v>
      </c>
    </row>
    <row r="4" spans="1:2" x14ac:dyDescent="0.25">
      <c r="A4" s="26">
        <v>8.4376144766982686E-2</v>
      </c>
    </row>
    <row r="6" spans="1:2" x14ac:dyDescent="0.25">
      <c r="A6" s="24" t="s">
        <v>67</v>
      </c>
      <c r="B6" t="s">
        <v>86</v>
      </c>
    </row>
    <row r="7" spans="1:2" x14ac:dyDescent="0.25">
      <c r="A7" s="25">
        <v>3</v>
      </c>
      <c r="B7" s="26">
        <v>0.15165876777251186</v>
      </c>
    </row>
    <row r="8" spans="1:2" x14ac:dyDescent="0.25">
      <c r="A8" s="25">
        <v>4</v>
      </c>
      <c r="B8" s="26">
        <v>0.11180124223602485</v>
      </c>
    </row>
    <row r="9" spans="1:2" x14ac:dyDescent="0.25">
      <c r="A9" s="25">
        <v>5</v>
      </c>
      <c r="B9" s="26">
        <v>0.11173184357541899</v>
      </c>
    </row>
    <row r="10" spans="1:2" x14ac:dyDescent="0.25">
      <c r="A10" s="25">
        <v>13</v>
      </c>
      <c r="B10" s="26">
        <v>9.6491228070175433E-2</v>
      </c>
    </row>
    <row r="11" spans="1:2" x14ac:dyDescent="0.25">
      <c r="A11" s="25">
        <v>16</v>
      </c>
      <c r="B11" s="26">
        <v>0.11538461538461539</v>
      </c>
    </row>
    <row r="12" spans="1:2" x14ac:dyDescent="0.25">
      <c r="A12" s="25">
        <v>17</v>
      </c>
      <c r="B12" s="26">
        <v>0.15789473684210525</v>
      </c>
    </row>
    <row r="13" spans="1:2" x14ac:dyDescent="0.25">
      <c r="A13" s="25">
        <v>19</v>
      </c>
      <c r="B13" s="26">
        <v>0.10126582278481013</v>
      </c>
    </row>
    <row r="14" spans="1:2" x14ac:dyDescent="0.25">
      <c r="A14" s="25" t="s">
        <v>68</v>
      </c>
      <c r="B14" s="26">
        <v>0.12088975095223742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C098-A5A6-44E7-B921-AB62B78003C3}">
  <dimension ref="A1:P21"/>
  <sheetViews>
    <sheetView zoomScale="90" zoomScaleNormal="90" workbookViewId="0">
      <selection activeCell="J22" sqref="J22"/>
    </sheetView>
  </sheetViews>
  <sheetFormatPr defaultColWidth="8.7109375" defaultRowHeight="15" x14ac:dyDescent="0.25"/>
  <cols>
    <col min="1" max="1" width="9.42578125" style="20" customWidth="1"/>
    <col min="2" max="2" width="14" style="9" customWidth="1"/>
    <col min="3" max="3" width="10" style="12" customWidth="1"/>
    <col min="4" max="4" width="16" customWidth="1"/>
    <col min="5" max="6" width="18" style="14" customWidth="1"/>
    <col min="7" max="7" width="32" customWidth="1"/>
    <col min="8" max="8" width="13" style="7" customWidth="1"/>
    <col min="9" max="9" width="11" style="7" customWidth="1"/>
    <col min="10" max="10" width="10" style="7" customWidth="1"/>
    <col min="11" max="11" width="12" style="7" customWidth="1"/>
    <col min="12" max="12" width="20.5703125" style="7" bestFit="1" customWidth="1"/>
    <col min="13" max="13" width="16" style="7" bestFit="1" customWidth="1"/>
    <col min="14" max="14" width="15.42578125" style="7" bestFit="1" customWidth="1"/>
    <col min="15" max="15" width="19.5703125" style="7" customWidth="1"/>
    <col min="16" max="16" width="19.85546875" style="18" bestFit="1" customWidth="1"/>
    <col min="17" max="17" width="19.28515625" customWidth="1"/>
  </cols>
  <sheetData>
    <row r="1" spans="1:16" ht="25.5" x14ac:dyDescent="0.25">
      <c r="A1" s="21" t="s">
        <v>63</v>
      </c>
      <c r="B1" s="8" t="s">
        <v>40</v>
      </c>
      <c r="C1" s="10" t="s">
        <v>41</v>
      </c>
      <c r="D1" s="1" t="s">
        <v>42</v>
      </c>
      <c r="E1" s="13" t="s">
        <v>43</v>
      </c>
      <c r="F1" s="13" t="s">
        <v>56</v>
      </c>
      <c r="G1" s="1" t="s">
        <v>44</v>
      </c>
      <c r="H1" s="23" t="s">
        <v>64</v>
      </c>
      <c r="I1" s="5" t="s">
        <v>45</v>
      </c>
      <c r="J1" s="5" t="s">
        <v>46</v>
      </c>
      <c r="K1" s="23" t="s">
        <v>65</v>
      </c>
      <c r="L1" s="5" t="s">
        <v>47</v>
      </c>
      <c r="M1" s="5" t="s">
        <v>48</v>
      </c>
      <c r="N1" s="5" t="s">
        <v>49</v>
      </c>
      <c r="O1" s="5" t="s">
        <v>50</v>
      </c>
      <c r="P1" s="16" t="s">
        <v>51</v>
      </c>
    </row>
    <row r="2" spans="1:16" ht="25.5" x14ac:dyDescent="0.25">
      <c r="A2" s="19">
        <v>1</v>
      </c>
      <c r="B2" s="2">
        <v>46034</v>
      </c>
      <c r="C2" s="11" t="s">
        <v>0</v>
      </c>
      <c r="D2" s="3" t="s">
        <v>1</v>
      </c>
      <c r="E2" s="15" t="s">
        <v>52</v>
      </c>
      <c r="F2" s="15" t="s">
        <v>57</v>
      </c>
      <c r="G2" s="4" t="s">
        <v>2</v>
      </c>
      <c r="H2" s="6">
        <v>1081</v>
      </c>
      <c r="I2" s="6" t="s">
        <v>55</v>
      </c>
      <c r="J2" s="6">
        <v>40</v>
      </c>
      <c r="K2" s="6">
        <v>9</v>
      </c>
      <c r="L2" s="6">
        <v>0</v>
      </c>
      <c r="M2" s="6">
        <v>0</v>
      </c>
      <c r="N2" s="6" t="s">
        <v>55</v>
      </c>
      <c r="O2" s="6">
        <f t="shared" ref="O2:O20" si="0">SUM(J2,K2,L2,M2)</f>
        <v>49</v>
      </c>
      <c r="P2" s="17" t="s">
        <v>55</v>
      </c>
    </row>
    <row r="3" spans="1:16" ht="25.5" x14ac:dyDescent="0.25">
      <c r="A3" s="19">
        <v>2</v>
      </c>
      <c r="B3" s="2">
        <v>46066</v>
      </c>
      <c r="C3" s="11" t="s">
        <v>3</v>
      </c>
      <c r="D3" s="3" t="s">
        <v>4</v>
      </c>
      <c r="E3" s="15" t="s">
        <v>53</v>
      </c>
      <c r="F3" s="15" t="s">
        <v>58</v>
      </c>
      <c r="G3" s="4" t="s">
        <v>5</v>
      </c>
      <c r="H3" s="6">
        <v>848</v>
      </c>
      <c r="I3" s="6">
        <v>481</v>
      </c>
      <c r="J3" s="6">
        <v>24</v>
      </c>
      <c r="K3" s="6">
        <v>3</v>
      </c>
      <c r="L3" s="6">
        <v>4</v>
      </c>
      <c r="M3" s="6">
        <v>0</v>
      </c>
      <c r="N3" s="6">
        <v>1</v>
      </c>
      <c r="O3" s="6">
        <f t="shared" si="0"/>
        <v>31</v>
      </c>
      <c r="P3" s="17">
        <f t="shared" ref="P3:P20" si="1">IFERROR(O3/I3,"")</f>
        <v>6.4449064449064453E-2</v>
      </c>
    </row>
    <row r="4" spans="1:16" ht="25.5" x14ac:dyDescent="0.25">
      <c r="A4" s="19">
        <v>3</v>
      </c>
      <c r="B4" s="2">
        <v>46087</v>
      </c>
      <c r="C4" s="11" t="s">
        <v>6</v>
      </c>
      <c r="D4" s="3" t="s">
        <v>4</v>
      </c>
      <c r="E4" s="15" t="s">
        <v>54</v>
      </c>
      <c r="F4" s="15" t="s">
        <v>58</v>
      </c>
      <c r="G4" s="4" t="s">
        <v>7</v>
      </c>
      <c r="H4" s="6">
        <v>534</v>
      </c>
      <c r="I4" s="6">
        <v>211</v>
      </c>
      <c r="J4" s="6">
        <v>25</v>
      </c>
      <c r="K4" s="6">
        <v>1</v>
      </c>
      <c r="L4" s="6">
        <v>4</v>
      </c>
      <c r="M4" s="6">
        <v>2</v>
      </c>
      <c r="N4" s="6">
        <v>0</v>
      </c>
      <c r="O4" s="6">
        <f t="shared" si="0"/>
        <v>32</v>
      </c>
      <c r="P4" s="17">
        <f t="shared" si="1"/>
        <v>0.15165876777251186</v>
      </c>
    </row>
    <row r="5" spans="1:16" ht="25.5" x14ac:dyDescent="0.25">
      <c r="A5" s="19">
        <v>4</v>
      </c>
      <c r="B5" s="2">
        <v>46105</v>
      </c>
      <c r="C5" s="11" t="s">
        <v>8</v>
      </c>
      <c r="D5" s="3" t="s">
        <v>4</v>
      </c>
      <c r="E5" s="15" t="s">
        <v>54</v>
      </c>
      <c r="F5" s="15" t="s">
        <v>58</v>
      </c>
      <c r="G5" s="4" t="s">
        <v>9</v>
      </c>
      <c r="H5" s="6">
        <v>411</v>
      </c>
      <c r="I5" s="6">
        <v>161</v>
      </c>
      <c r="J5" s="6">
        <v>14</v>
      </c>
      <c r="K5" s="6">
        <v>0</v>
      </c>
      <c r="L5" s="6">
        <v>4</v>
      </c>
      <c r="M5" s="6">
        <v>0</v>
      </c>
      <c r="N5" s="6">
        <v>0</v>
      </c>
      <c r="O5" s="6">
        <f t="shared" si="0"/>
        <v>18</v>
      </c>
      <c r="P5" s="17">
        <f t="shared" si="1"/>
        <v>0.11180124223602485</v>
      </c>
    </row>
    <row r="6" spans="1:16" ht="25.5" x14ac:dyDescent="0.25">
      <c r="A6" s="19">
        <v>5</v>
      </c>
      <c r="B6" s="2">
        <v>46106</v>
      </c>
      <c r="C6" s="11" t="s">
        <v>10</v>
      </c>
      <c r="D6" s="3" t="s">
        <v>4</v>
      </c>
      <c r="E6" s="15" t="s">
        <v>54</v>
      </c>
      <c r="F6" s="15" t="s">
        <v>59</v>
      </c>
      <c r="G6" s="4" t="s">
        <v>11</v>
      </c>
      <c r="H6" s="6">
        <v>373</v>
      </c>
      <c r="I6" s="6">
        <v>179</v>
      </c>
      <c r="J6" s="6">
        <v>15</v>
      </c>
      <c r="K6" s="6">
        <v>0</v>
      </c>
      <c r="L6" s="6">
        <v>3</v>
      </c>
      <c r="M6" s="6">
        <v>2</v>
      </c>
      <c r="N6" s="6">
        <v>1</v>
      </c>
      <c r="O6" s="6">
        <f t="shared" si="0"/>
        <v>20</v>
      </c>
      <c r="P6" s="17">
        <f t="shared" si="1"/>
        <v>0.11173184357541899</v>
      </c>
    </row>
    <row r="7" spans="1:16" ht="25.5" x14ac:dyDescent="0.25">
      <c r="A7" s="19">
        <v>6</v>
      </c>
      <c r="B7" s="2">
        <v>46108</v>
      </c>
      <c r="C7" s="11" t="s">
        <v>12</v>
      </c>
      <c r="D7" s="3" t="s">
        <v>4</v>
      </c>
      <c r="E7" s="15" t="s">
        <v>54</v>
      </c>
      <c r="F7" s="15" t="s">
        <v>59</v>
      </c>
      <c r="G7" s="4" t="s">
        <v>13</v>
      </c>
      <c r="H7" s="6">
        <v>285</v>
      </c>
      <c r="I7" s="6">
        <v>164</v>
      </c>
      <c r="J7" s="6">
        <v>10</v>
      </c>
      <c r="K7" s="6">
        <v>0</v>
      </c>
      <c r="L7" s="6">
        <v>1</v>
      </c>
      <c r="M7" s="6">
        <v>0</v>
      </c>
      <c r="N7" s="6">
        <v>0</v>
      </c>
      <c r="O7" s="6">
        <f t="shared" si="0"/>
        <v>11</v>
      </c>
      <c r="P7" s="17">
        <f t="shared" si="1"/>
        <v>6.7073170731707321E-2</v>
      </c>
    </row>
    <row r="8" spans="1:16" ht="25.5" x14ac:dyDescent="0.25">
      <c r="A8" s="19">
        <v>7</v>
      </c>
      <c r="B8" s="2">
        <v>46112</v>
      </c>
      <c r="C8" s="11" t="s">
        <v>14</v>
      </c>
      <c r="D8" s="3" t="s">
        <v>4</v>
      </c>
      <c r="E8" s="15" t="s">
        <v>54</v>
      </c>
      <c r="F8" s="15" t="s">
        <v>59</v>
      </c>
      <c r="G8" s="4" t="s">
        <v>15</v>
      </c>
      <c r="H8" s="6">
        <v>339</v>
      </c>
      <c r="I8" s="6">
        <v>161</v>
      </c>
      <c r="J8" s="6">
        <v>12</v>
      </c>
      <c r="K8" s="6">
        <v>0</v>
      </c>
      <c r="L8" s="6">
        <v>1</v>
      </c>
      <c r="M8" s="6">
        <v>0</v>
      </c>
      <c r="N8" s="6">
        <v>0</v>
      </c>
      <c r="O8" s="6">
        <f t="shared" si="0"/>
        <v>13</v>
      </c>
      <c r="P8" s="17">
        <f t="shared" si="1"/>
        <v>8.0745341614906832E-2</v>
      </c>
    </row>
    <row r="9" spans="1:16" ht="25.5" x14ac:dyDescent="0.25">
      <c r="A9" s="19">
        <v>8</v>
      </c>
      <c r="B9" s="2">
        <v>46122</v>
      </c>
      <c r="C9" s="11" t="s">
        <v>16</v>
      </c>
      <c r="D9" s="3" t="s">
        <v>4</v>
      </c>
      <c r="E9" s="15" t="s">
        <v>54</v>
      </c>
      <c r="F9" s="15" t="s">
        <v>59</v>
      </c>
      <c r="G9" s="4" t="s">
        <v>17</v>
      </c>
      <c r="H9" s="6">
        <v>320</v>
      </c>
      <c r="I9" s="6">
        <v>130</v>
      </c>
      <c r="J9" s="6">
        <v>9</v>
      </c>
      <c r="K9" s="6">
        <v>0</v>
      </c>
      <c r="L9" s="6">
        <v>0</v>
      </c>
      <c r="M9" s="6">
        <v>0</v>
      </c>
      <c r="N9" s="6">
        <v>0</v>
      </c>
      <c r="O9" s="6">
        <f t="shared" si="0"/>
        <v>9</v>
      </c>
      <c r="P9" s="17">
        <f t="shared" si="1"/>
        <v>6.9230769230769235E-2</v>
      </c>
    </row>
    <row r="10" spans="1:16" ht="25.5" x14ac:dyDescent="0.25">
      <c r="A10" s="19">
        <v>9</v>
      </c>
      <c r="B10" s="2">
        <v>46153</v>
      </c>
      <c r="C10" s="11" t="s">
        <v>18</v>
      </c>
      <c r="D10" s="3" t="s">
        <v>4</v>
      </c>
      <c r="E10" s="15" t="s">
        <v>54</v>
      </c>
      <c r="F10" s="15" t="s">
        <v>60</v>
      </c>
      <c r="G10" s="4" t="s">
        <v>19</v>
      </c>
      <c r="H10" s="6">
        <v>689</v>
      </c>
      <c r="I10" s="6">
        <v>250</v>
      </c>
      <c r="J10" s="6">
        <v>10</v>
      </c>
      <c r="K10" s="6">
        <v>0</v>
      </c>
      <c r="L10" s="6">
        <v>8</v>
      </c>
      <c r="M10" s="6">
        <v>0</v>
      </c>
      <c r="N10" s="6">
        <v>0</v>
      </c>
      <c r="O10" s="6">
        <f t="shared" si="0"/>
        <v>18</v>
      </c>
      <c r="P10" s="17">
        <f t="shared" si="1"/>
        <v>7.1999999999999995E-2</v>
      </c>
    </row>
    <row r="11" spans="1:16" ht="25.5" x14ac:dyDescent="0.25">
      <c r="A11" s="19">
        <v>10</v>
      </c>
      <c r="B11" s="2">
        <v>46185</v>
      </c>
      <c r="C11" s="11" t="s">
        <v>20</v>
      </c>
      <c r="D11" s="3" t="s">
        <v>4</v>
      </c>
      <c r="E11" s="15" t="s">
        <v>54</v>
      </c>
      <c r="F11" s="15" t="s">
        <v>61</v>
      </c>
      <c r="G11" s="4" t="s">
        <v>21</v>
      </c>
      <c r="H11" s="6">
        <v>503</v>
      </c>
      <c r="I11" s="6">
        <v>301</v>
      </c>
      <c r="J11" s="6">
        <v>9</v>
      </c>
      <c r="K11" s="6">
        <v>0</v>
      </c>
      <c r="L11" s="6">
        <v>1</v>
      </c>
      <c r="M11" s="6">
        <v>0</v>
      </c>
      <c r="N11" s="6">
        <v>0</v>
      </c>
      <c r="O11" s="6">
        <f t="shared" si="0"/>
        <v>10</v>
      </c>
      <c r="P11" s="17">
        <f t="shared" si="1"/>
        <v>3.3222591362126248E-2</v>
      </c>
    </row>
    <row r="12" spans="1:16" ht="25.5" x14ac:dyDescent="0.25">
      <c r="A12" s="19">
        <v>11</v>
      </c>
      <c r="B12" s="2">
        <v>46203</v>
      </c>
      <c r="C12" s="11" t="s">
        <v>22</v>
      </c>
      <c r="D12" s="3" t="s">
        <v>23</v>
      </c>
      <c r="E12" s="15" t="s">
        <v>53</v>
      </c>
      <c r="F12" s="15" t="s">
        <v>60</v>
      </c>
      <c r="G12" s="4" t="s">
        <v>24</v>
      </c>
      <c r="H12" s="6">
        <v>583</v>
      </c>
      <c r="I12" s="6" t="s">
        <v>55</v>
      </c>
      <c r="J12" s="6">
        <v>22</v>
      </c>
      <c r="K12" s="6">
        <v>1</v>
      </c>
      <c r="L12" s="6">
        <v>4</v>
      </c>
      <c r="M12" s="6">
        <v>0</v>
      </c>
      <c r="N12" s="6" t="s">
        <v>55</v>
      </c>
      <c r="O12" s="6">
        <f t="shared" si="0"/>
        <v>27</v>
      </c>
      <c r="P12" s="17" t="s">
        <v>55</v>
      </c>
    </row>
    <row r="13" spans="1:16" ht="25.5" x14ac:dyDescent="0.25">
      <c r="A13" s="19">
        <v>12</v>
      </c>
      <c r="B13" s="2">
        <v>46206</v>
      </c>
      <c r="C13" s="11" t="s">
        <v>25</v>
      </c>
      <c r="D13" s="3" t="s">
        <v>4</v>
      </c>
      <c r="E13" s="15" t="s">
        <v>52</v>
      </c>
      <c r="F13" s="15" t="s">
        <v>59</v>
      </c>
      <c r="G13" s="4" t="s">
        <v>26</v>
      </c>
      <c r="H13" s="6">
        <v>191</v>
      </c>
      <c r="I13" s="6">
        <v>97</v>
      </c>
      <c r="J13" s="6">
        <v>3</v>
      </c>
      <c r="K13" s="6">
        <v>0</v>
      </c>
      <c r="L13" s="6">
        <v>1</v>
      </c>
      <c r="M13" s="6">
        <v>1</v>
      </c>
      <c r="N13" s="6">
        <v>0</v>
      </c>
      <c r="O13" s="6">
        <f t="shared" si="0"/>
        <v>5</v>
      </c>
      <c r="P13" s="17">
        <f t="shared" si="1"/>
        <v>5.1546391752577317E-2</v>
      </c>
    </row>
    <row r="14" spans="1:16" ht="25.5" x14ac:dyDescent="0.25">
      <c r="A14" s="19">
        <v>13</v>
      </c>
      <c r="B14" s="2">
        <v>46212</v>
      </c>
      <c r="C14" s="11" t="s">
        <v>27</v>
      </c>
      <c r="D14" s="3" t="s">
        <v>4</v>
      </c>
      <c r="E14" s="15" t="s">
        <v>52</v>
      </c>
      <c r="F14" s="15" t="s">
        <v>59</v>
      </c>
      <c r="G14" s="4" t="s">
        <v>28</v>
      </c>
      <c r="H14" s="6">
        <v>211</v>
      </c>
      <c r="I14" s="6">
        <v>114</v>
      </c>
      <c r="J14" s="6">
        <v>10</v>
      </c>
      <c r="K14" s="6">
        <v>0</v>
      </c>
      <c r="L14" s="6">
        <v>1</v>
      </c>
      <c r="M14" s="6">
        <v>0</v>
      </c>
      <c r="N14" s="6">
        <v>0</v>
      </c>
      <c r="O14" s="6">
        <f t="shared" si="0"/>
        <v>11</v>
      </c>
      <c r="P14" s="17">
        <f t="shared" si="1"/>
        <v>9.6491228070175433E-2</v>
      </c>
    </row>
    <row r="15" spans="1:16" ht="25.5" x14ac:dyDescent="0.25">
      <c r="A15" s="19">
        <v>14</v>
      </c>
      <c r="B15" s="2">
        <v>46232</v>
      </c>
      <c r="C15" s="11" t="s">
        <v>27</v>
      </c>
      <c r="D15" s="3" t="s">
        <v>4</v>
      </c>
      <c r="E15" s="15" t="s">
        <v>54</v>
      </c>
      <c r="F15" s="15" t="s">
        <v>57</v>
      </c>
      <c r="G15" s="4" t="s">
        <v>29</v>
      </c>
      <c r="H15" s="6">
        <v>933</v>
      </c>
      <c r="I15" s="6">
        <v>403</v>
      </c>
      <c r="J15" s="6">
        <v>13</v>
      </c>
      <c r="K15" s="6">
        <v>0</v>
      </c>
      <c r="L15" s="6">
        <v>2</v>
      </c>
      <c r="M15" s="6">
        <v>0</v>
      </c>
      <c r="N15" s="6">
        <v>0</v>
      </c>
      <c r="O15" s="6">
        <f t="shared" si="0"/>
        <v>15</v>
      </c>
      <c r="P15" s="17">
        <f t="shared" si="1"/>
        <v>3.7220843672456573E-2</v>
      </c>
    </row>
    <row r="16" spans="1:16" ht="25.5" x14ac:dyDescent="0.25">
      <c r="A16" s="19">
        <v>15</v>
      </c>
      <c r="B16" s="2">
        <v>46239</v>
      </c>
      <c r="C16" s="11" t="s">
        <v>30</v>
      </c>
      <c r="D16" s="3" t="s">
        <v>1</v>
      </c>
      <c r="E16" s="15" t="s">
        <v>54</v>
      </c>
      <c r="F16" s="15" t="s">
        <v>57</v>
      </c>
      <c r="G16" s="4" t="s">
        <v>31</v>
      </c>
      <c r="H16" s="6">
        <v>799</v>
      </c>
      <c r="I16" s="6" t="s">
        <v>55</v>
      </c>
      <c r="J16" s="6">
        <v>31</v>
      </c>
      <c r="K16" s="6">
        <v>5</v>
      </c>
      <c r="L16" s="6">
        <v>1</v>
      </c>
      <c r="M16" s="6">
        <v>0</v>
      </c>
      <c r="N16" s="6" t="s">
        <v>55</v>
      </c>
      <c r="O16" s="6">
        <f t="shared" si="0"/>
        <v>37</v>
      </c>
      <c r="P16" s="17" t="s">
        <v>55</v>
      </c>
    </row>
    <row r="17" spans="1:16" ht="25.5" x14ac:dyDescent="0.25">
      <c r="A17" s="19">
        <v>16</v>
      </c>
      <c r="B17" s="2">
        <v>46245</v>
      </c>
      <c r="C17" s="11" t="s">
        <v>32</v>
      </c>
      <c r="D17" s="3" t="s">
        <v>4</v>
      </c>
      <c r="E17" s="15" t="s">
        <v>53</v>
      </c>
      <c r="F17" s="15" t="s">
        <v>57</v>
      </c>
      <c r="G17" s="4" t="s">
        <v>33</v>
      </c>
      <c r="H17" s="6">
        <v>330</v>
      </c>
      <c r="I17" s="6">
        <v>208</v>
      </c>
      <c r="J17" s="6">
        <v>20</v>
      </c>
      <c r="K17" s="6">
        <v>1</v>
      </c>
      <c r="L17" s="6">
        <v>3</v>
      </c>
      <c r="M17" s="6">
        <v>0</v>
      </c>
      <c r="N17" s="6">
        <v>0</v>
      </c>
      <c r="O17" s="6">
        <f t="shared" si="0"/>
        <v>24</v>
      </c>
      <c r="P17" s="17">
        <f t="shared" si="1"/>
        <v>0.11538461538461539</v>
      </c>
    </row>
    <row r="18" spans="1:16" ht="25.5" x14ac:dyDescent="0.25">
      <c r="A18" s="19">
        <v>17</v>
      </c>
      <c r="B18" s="2">
        <v>46245</v>
      </c>
      <c r="C18" s="11" t="s">
        <v>34</v>
      </c>
      <c r="D18" s="3" t="s">
        <v>4</v>
      </c>
      <c r="E18" s="15" t="s">
        <v>52</v>
      </c>
      <c r="F18" s="15" t="s">
        <v>62</v>
      </c>
      <c r="G18" s="4" t="s">
        <v>35</v>
      </c>
      <c r="H18" s="6">
        <v>157</v>
      </c>
      <c r="I18" s="6">
        <v>76</v>
      </c>
      <c r="J18" s="6">
        <v>10</v>
      </c>
      <c r="K18" s="6">
        <v>2</v>
      </c>
      <c r="L18" s="6">
        <v>0</v>
      </c>
      <c r="M18" s="6">
        <v>0</v>
      </c>
      <c r="N18" s="6">
        <v>0</v>
      </c>
      <c r="O18" s="6">
        <f t="shared" si="0"/>
        <v>12</v>
      </c>
      <c r="P18" s="17">
        <f t="shared" si="1"/>
        <v>0.15789473684210525</v>
      </c>
    </row>
    <row r="19" spans="1:16" ht="25.5" x14ac:dyDescent="0.25">
      <c r="A19" s="19">
        <v>18</v>
      </c>
      <c r="B19" s="2">
        <v>46248</v>
      </c>
      <c r="C19" s="11" t="s">
        <v>36</v>
      </c>
      <c r="D19" s="3" t="s">
        <v>4</v>
      </c>
      <c r="E19" s="15" t="s">
        <v>52</v>
      </c>
      <c r="F19" s="15" t="s">
        <v>61</v>
      </c>
      <c r="G19" s="4" t="s">
        <v>37</v>
      </c>
      <c r="H19" s="6">
        <v>474</v>
      </c>
      <c r="I19" s="6">
        <v>106</v>
      </c>
      <c r="J19" s="6">
        <v>3</v>
      </c>
      <c r="K19" s="6">
        <v>0</v>
      </c>
      <c r="L19" s="6">
        <v>0</v>
      </c>
      <c r="M19" s="6">
        <v>0</v>
      </c>
      <c r="N19" s="6">
        <v>0</v>
      </c>
      <c r="O19" s="6">
        <f t="shared" si="0"/>
        <v>3</v>
      </c>
      <c r="P19" s="17">
        <f t="shared" si="1"/>
        <v>2.8301886792452831E-2</v>
      </c>
    </row>
    <row r="20" spans="1:16" ht="25.5" x14ac:dyDescent="0.25">
      <c r="A20" s="19">
        <v>19</v>
      </c>
      <c r="B20" s="2">
        <v>46266</v>
      </c>
      <c r="C20" s="11" t="s">
        <v>38</v>
      </c>
      <c r="D20" s="3" t="s">
        <v>4</v>
      </c>
      <c r="E20" s="15" t="s">
        <v>54</v>
      </c>
      <c r="F20" s="15" t="s">
        <v>62</v>
      </c>
      <c r="G20" s="4" t="s">
        <v>39</v>
      </c>
      <c r="H20" s="6">
        <v>185</v>
      </c>
      <c r="I20" s="6">
        <v>79</v>
      </c>
      <c r="J20" s="6">
        <v>7</v>
      </c>
      <c r="K20" s="6">
        <v>0</v>
      </c>
      <c r="L20" s="6">
        <v>0</v>
      </c>
      <c r="M20" s="6">
        <v>1</v>
      </c>
      <c r="N20" s="6">
        <v>0</v>
      </c>
      <c r="O20" s="6">
        <f t="shared" si="0"/>
        <v>8</v>
      </c>
      <c r="P20" s="17">
        <f t="shared" si="1"/>
        <v>0.10126582278481013</v>
      </c>
    </row>
    <row r="21" spans="1:16" x14ac:dyDescent="0.25">
      <c r="F21" s="22"/>
    </row>
  </sheetData>
  <phoneticPr fontId="8" type="noConversion"/>
  <hyperlinks>
    <hyperlink ref="G2" r:id="rId1" xr:uid="{2D60684A-54BE-43DB-8303-48A03C483F23}"/>
    <hyperlink ref="G3" r:id="rId2" xr:uid="{2DC0A9E9-225D-46D1-95D7-93D6D9B0C29D}"/>
    <hyperlink ref="G4" r:id="rId3" xr:uid="{E7672BAB-03FB-46DE-9453-C0ADD580C888}"/>
    <hyperlink ref="G5" r:id="rId4" xr:uid="{FD19441C-0081-4E2E-B407-EAB6EE9826F5}"/>
    <hyperlink ref="G6" r:id="rId5" xr:uid="{C9D31B56-D36E-4D9D-B90A-979A5DFAF725}"/>
    <hyperlink ref="G7" r:id="rId6" xr:uid="{FD9F0C8C-0C6E-42F9-94BA-AB930D9F221D}"/>
    <hyperlink ref="G8" r:id="rId7" xr:uid="{E669C623-E84E-4F06-8590-3C0379F0F1E3}"/>
    <hyperlink ref="G9" r:id="rId8" xr:uid="{EAB35888-F857-470B-9C63-B05EE56E097F}"/>
    <hyperlink ref="G10" r:id="rId9" xr:uid="{F102516C-8065-49C5-AC9D-ABA6CFED9736}"/>
    <hyperlink ref="G11" r:id="rId10" xr:uid="{2FD02DC1-A9F9-400C-A0A1-6BEFD0D42F53}"/>
    <hyperlink ref="G12" r:id="rId11" xr:uid="{AA306616-69A4-4DE5-80A4-2199F7B30DEB}"/>
    <hyperlink ref="G13" r:id="rId12" xr:uid="{A02EF85D-C2A0-4F49-B3A4-7AD2FC13CFCC}"/>
    <hyperlink ref="G14" r:id="rId13" xr:uid="{50CBA28E-925E-480A-B1F3-552903057D32}"/>
    <hyperlink ref="G15" r:id="rId14" xr:uid="{523D7608-B876-4FC4-B57A-63E91727D3FB}"/>
    <hyperlink ref="G16" r:id="rId15" xr:uid="{8E2AE01E-B5E9-4F06-B3E9-07330BB5B7D8}"/>
    <hyperlink ref="G17" r:id="rId16" xr:uid="{213EC5E7-D43C-451B-AF0F-D3E52C242E42}"/>
    <hyperlink ref="G18" r:id="rId17" xr:uid="{CB6AAE9E-57A4-4103-B170-847BE001FCD0}"/>
    <hyperlink ref="G19" r:id="rId18" xr:uid="{A72D5420-2591-406A-9376-6BD39E525AE0}"/>
    <hyperlink ref="G20" r:id="rId19" xr:uid="{79BF5414-AE0B-4A49-BE6E-4F7559B49286}"/>
  </hyperlinks>
  <pageMargins left="0.511811024" right="0.511811024" top="0.78740157499999996" bottom="0.78740157499999996" header="0.31496062000000002" footer="0.31496062000000002"/>
  <tableParts count="2"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Perguntas e respostas</vt:lpstr>
      <vt:lpstr>Pergunta1</vt:lpstr>
      <vt:lpstr>Pergunta2</vt:lpstr>
      <vt:lpstr>Pergunta3</vt:lpstr>
      <vt:lpstr>Pergunta4</vt:lpstr>
      <vt:lpstr>Pergunta5</vt:lpstr>
      <vt:lpstr>Pergunta6</vt:lpstr>
      <vt:lpstr>Pergunta7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2026-09-03T13:04:39Z</dcterms:created>
  <dcterms:modified xsi:type="dcterms:W3CDTF">2026-09-04T17:24:06Z</dcterms:modified>
</cp:coreProperties>
</file>